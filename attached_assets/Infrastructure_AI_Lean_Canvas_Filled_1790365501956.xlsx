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Lean Canvas" sheetId="1" state="visible" r:id="rId1"/>
    <sheet xmlns:r="http://schemas.openxmlformats.org/officeDocument/2006/relationships" name="Check" sheetId="2" state="visible" r:id="rId2"/>
  </sheets>
  <definedNames>
    <definedName name="ProductName">'Lean Canvas'!$C$5</definedName>
    <definedName name="StudentName">'Lean Canvas'!$C$4</definedName>
    <definedName name="HighLevelConcept">'Lean Canvas'!$F$21</definedName>
    <definedName name="CustomerSegments">'Lean Canvas'!$J$10</definedName>
    <definedName name="UnfairAdvantage">'Lean Canvas'!$H$10</definedName>
    <definedName name="EarlyAdopters">'Lean Canvas'!$J$21</definedName>
    <definedName name="Solution">'Lean Canvas'!$D$10</definedName>
    <definedName name="UniqueValueProp">'Lean Canvas'!$F$10</definedName>
    <definedName name="ExistingAlternatives">'Lean Canvas'!$B$21</definedName>
    <definedName name="KeyMetrics">'Lean Canvas'!$D$21</definedName>
    <definedName name="SubmissionDate">'Lean Canvas'!$G$5</definedName>
    <definedName name="CostStructure">'Lean Canvas'!$B$31</definedName>
    <definedName name="StudentEmail">'Lean Canvas'!$G$4</definedName>
    <definedName name="Channels">'Lean Canvas'!$H$21</definedName>
    <definedName name="RevenueStreams">'Lean Canvas'!$G$31</definedName>
    <definedName name="Problem">'Lean Canvas'!$B$10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color theme="1"/>
      <sz val="11"/>
      <scheme val="minor"/>
    </font>
    <font>
      <name val="Cambria"/>
      <b val="1"/>
      <color rgb="FF990000"/>
      <sz val="18"/>
    </font>
    <font>
      <name val="Cambria"/>
      <b val="1"/>
      <color rgb="FF990000"/>
      <sz val="26"/>
    </font>
    <font>
      <name val="Calibri"/>
      <i val="1"/>
      <color rgb="FF6B6B6B"/>
      <sz val="10"/>
    </font>
    <font>
      <name val="Calibri"/>
      <b val="1"/>
      <color rgb="FFFFFFFF"/>
      <sz val="10"/>
    </font>
    <font>
      <name val="Calibri"/>
      <b val="1"/>
      <color rgb="FF1F1F1F"/>
      <sz val="10"/>
    </font>
    <font>
      <name val="Calibri"/>
      <b val="1"/>
      <color rgb="FF990000"/>
      <sz val="10"/>
    </font>
    <font>
      <name val="Calibri"/>
      <color rgb="FF1F1F1F"/>
      <sz val="11"/>
    </font>
    <font/>
    <font>
      <name val="Calibri"/>
      <color theme="1"/>
      <sz val="10"/>
    </font>
    <font>
      <name val="Calibri"/>
      <color rgb="FF6B6B6B"/>
      <sz val="9"/>
    </font>
    <font>
      <name val="Calibri"/>
      <i val="1"/>
      <color rgb="FF6B6B6B"/>
      <sz val="8"/>
    </font>
    <font>
      <name val="Calibri"/>
      <color rgb="FF1F1F1F"/>
      <sz val="12"/>
    </font>
    <font>
      <name val="Calibri"/>
      <color rgb="FF6B6B6B"/>
      <sz val="8"/>
    </font>
    <font>
      <name val="Calibri"/>
      <i val="1"/>
      <color rgb="FF990000"/>
      <sz val="9"/>
    </font>
    <font>
      <name val="Aptos"/>
      <sz val="10"/>
    </font>
  </fonts>
  <fills count="5">
    <fill>
      <patternFill/>
    </fill>
    <fill>
      <patternFill patternType="lightGray"/>
    </fill>
    <fill>
      <patternFill patternType="solid">
        <fgColor rgb="FF990000"/>
        <bgColor rgb="FF990000"/>
      </patternFill>
    </fill>
    <fill>
      <patternFill patternType="solid">
        <fgColor rgb="FFFFFFFF"/>
        <bgColor rgb="FFFFFFFF"/>
      </patternFill>
    </fill>
    <fill>
      <patternFill patternType="solid">
        <fgColor rgb="FFF4F4F4"/>
        <bgColor rgb="FFF4F4F4"/>
      </patternFill>
    </fill>
  </fills>
  <borders count="20">
    <border/>
    <border>
      <left/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medium">
        <color rgb="FF990000"/>
      </left>
      <top style="medium">
        <color rgb="FF990000"/>
      </top>
      <bottom style="medium">
        <color rgb="FF990000"/>
      </bottom>
    </border>
    <border>
      <right style="medium">
        <color rgb="FF990000"/>
      </right>
      <top style="medium">
        <color rgb="FF990000"/>
      </top>
      <bottom style="medium">
        <color rgb="FF990000"/>
      </bottom>
    </border>
    <border>
      <left style="medium">
        <color rgb="FF990000"/>
      </left>
      <top style="medium">
        <color rgb="FF990000"/>
      </top>
    </border>
    <border>
      <right style="medium">
        <color rgb="FF990000"/>
      </right>
      <top style="medium">
        <color rgb="FF990000"/>
      </top>
    </border>
    <border>
      <left style="medium">
        <color rgb="FF990000"/>
      </left>
    </border>
    <border>
      <right style="medium">
        <color rgb="FF990000"/>
      </right>
    </border>
    <border>
      <left style="medium">
        <color rgb="FF990000"/>
      </left>
      <bottom style="medium">
        <color rgb="FF990000"/>
      </bottom>
    </border>
    <border>
      <right style="medium">
        <color rgb="FF990000"/>
      </right>
      <bottom style="medium">
        <color rgb="FF990000"/>
      </bottom>
    </border>
    <border>
      <top style="medium">
        <color rgb="FF990000"/>
      </top>
      <bottom style="medium">
        <color rgb="FF990000"/>
      </bottom>
    </border>
    <border>
      <top style="medium">
        <color rgb="FF990000"/>
      </top>
    </border>
    <border>
      <bottom style="medium">
        <color rgb="FF990000"/>
      </bottom>
    </border>
    <border>
      <left style="medium">
        <color rgb="FF990000"/>
      </left>
      <right style="medium">
        <color rgb="FF990000"/>
      </right>
      <top style="medium">
        <color rgb="FF990000"/>
      </top>
      <bottom style="medium">
        <color rgb="FF990000"/>
      </bottom>
    </border>
    <border>
      <top style="thin">
        <color rgb="FFBFBFBF"/>
      </top>
    </border>
    <border>
      <right style="thin">
        <color rgb="FFBFBFBF"/>
      </right>
      <top style="thin">
        <color rgb="FFBFBFBF"/>
      </top>
    </border>
  </borders>
  <cellStyleXfs count="1">
    <xf numFmtId="0" fontId="0" fillId="0" borderId="0"/>
  </cellStyleXfs>
  <cellXfs count="48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pivotButton="0" quotePrefix="0" xfId="0"/>
    <xf numFmtId="0" fontId="4" fillId="2" borderId="1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0" fontId="5" fillId="0" borderId="2" pivotButton="0" quotePrefix="0" xfId="0"/>
    <xf numFmtId="0" fontId="6" fillId="0" borderId="0" applyAlignment="1" pivotButton="0" quotePrefix="0" xfId="0">
      <alignment horizontal="right" vertical="center"/>
    </xf>
    <xf numFmtId="0" fontId="7" fillId="3" borderId="3" applyAlignment="1" pivotButton="0" quotePrefix="0" xfId="0">
      <alignment vertical="center"/>
    </xf>
    <xf numFmtId="0" fontId="8" fillId="0" borderId="4" pivotButton="0" quotePrefix="0" xfId="0"/>
    <xf numFmtId="0" fontId="8" fillId="0" borderId="5" pivotButton="0" quotePrefix="0" xfId="0"/>
    <xf numFmtId="0" fontId="9" fillId="0" borderId="2" applyAlignment="1" pivotButton="0" quotePrefix="0" xfId="0">
      <alignment horizontal="center"/>
    </xf>
    <xf numFmtId="15" fontId="7" fillId="3" borderId="3" applyAlignment="1" pivotButton="0" quotePrefix="0" xfId="0">
      <alignment horizontal="left" vertical="center"/>
    </xf>
    <xf numFmtId="0" fontId="4" fillId="2" borderId="6" applyAlignment="1" pivotButton="0" quotePrefix="0" xfId="0">
      <alignment horizontal="left" vertical="center"/>
    </xf>
    <xf numFmtId="0" fontId="8" fillId="0" borderId="7" pivotButton="0" quotePrefix="0" xfId="0"/>
    <xf numFmtId="0" fontId="10" fillId="0" borderId="2" applyAlignment="1" pivotButton="0" quotePrefix="0" xfId="0">
      <alignment vertical="center"/>
    </xf>
    <xf numFmtId="0" fontId="11" fillId="4" borderId="6" applyAlignment="1" pivotButton="0" quotePrefix="0" xfId="0">
      <alignment vertical="center" wrapText="1"/>
    </xf>
    <xf numFmtId="0" fontId="12" fillId="3" borderId="8" applyAlignment="1" pivotButton="0" quotePrefix="0" xfId="0">
      <alignment vertical="top" wrapText="1"/>
    </xf>
    <xf numFmtId="0" fontId="8" fillId="0" borderId="9" pivotButton="0" quotePrefix="0" xfId="0"/>
    <xf numFmtId="0" fontId="7" fillId="3" borderId="8" applyAlignment="1" pivotButton="0" quotePrefix="0" xfId="0">
      <alignment vertical="top" wrapText="1"/>
    </xf>
    <xf numFmtId="0" fontId="7" fillId="3" borderId="8" applyAlignment="1" pivotButton="0" quotePrefix="0" xfId="0">
      <alignment vertical="top" wrapText="1"/>
    </xf>
    <xf numFmtId="0" fontId="8" fillId="0" borderId="10" pivotButton="0" quotePrefix="0" xfId="0"/>
    <xf numFmtId="0" fontId="8" fillId="0" borderId="11" pivotButton="0" quotePrefix="0" xfId="0"/>
    <xf numFmtId="0" fontId="8" fillId="0" borderId="12" pivotButton="0" quotePrefix="0" xfId="0"/>
    <xf numFmtId="0" fontId="8" fillId="0" borderId="13" pivotButton="0" quotePrefix="0" xfId="0"/>
    <xf numFmtId="0" fontId="8" fillId="0" borderId="14" pivotButton="0" quotePrefix="0" xfId="0"/>
    <xf numFmtId="0" fontId="8" fillId="0" borderId="15" pivotButton="0" quotePrefix="0" xfId="0"/>
    <xf numFmtId="0" fontId="8" fillId="0" borderId="16" pivotButton="0" quotePrefix="0" xfId="0"/>
    <xf numFmtId="0" fontId="13" fillId="0" borderId="0" pivotButton="0" quotePrefix="0" xfId="0"/>
    <xf numFmtId="0" fontId="14" fillId="0" borderId="0" pivotButton="0" quotePrefix="0" xfId="0"/>
    <xf numFmtId="0" fontId="0" fillId="0" borderId="0" pivotButton="0" quotePrefix="0" xfId="0"/>
    <xf numFmtId="0" fontId="7" fillId="3" borderId="2" applyAlignment="1" pivotButton="0" quotePrefix="0" xfId="0">
      <alignment vertical="center"/>
    </xf>
    <xf numFmtId="0" fontId="0" fillId="0" borderId="4" pivotButton="0" quotePrefix="0" xfId="0"/>
    <xf numFmtId="0" fontId="0" fillId="0" borderId="5" pivotButton="0" quotePrefix="0" xfId="0"/>
    <xf numFmtId="0" fontId="7" fillId="3" borderId="2" applyAlignment="1" pivotButton="0" quotePrefix="0" xfId="0">
      <alignment horizontal="left" vertical="center" wrapText="1"/>
    </xf>
    <xf numFmtId="15" fontId="7" fillId="3" borderId="2" applyAlignment="1" pivotButton="0" quotePrefix="0" xfId="0">
      <alignment horizontal="left" vertical="center" wrapText="1"/>
    </xf>
    <xf numFmtId="0" fontId="4" fillId="2" borderId="17" applyAlignment="1" pivotButton="0" quotePrefix="0" xfId="0">
      <alignment horizontal="left" vertical="center"/>
    </xf>
    <xf numFmtId="0" fontId="0" fillId="0" borderId="7" pivotButton="0" quotePrefix="0" xfId="0"/>
    <xf numFmtId="0" fontId="11" fillId="4" borderId="17" applyAlignment="1" pivotButton="0" quotePrefix="0" xfId="0">
      <alignment vertical="center" wrapText="1"/>
    </xf>
    <xf numFmtId="0" fontId="15" fillId="3" borderId="17" applyAlignment="1" pivotButton="0" quotePrefix="0" xfId="0">
      <alignment horizontal="left" vertical="top" wrapText="1"/>
    </xf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</cellXfs>
  <cellStyles count="1">
    <cellStyle name="Normal" xfId="0" builtinId="0"/>
  </cellStyles>
  <dxfs count="2">
    <dxf>
      <font>
        <b val="1"/>
        <color rgb="FF9C0006"/>
      </font>
      <fill>
        <patternFill patternType="solid">
          <fgColor rgb="FFF8CBAD"/>
          <bgColor rgb="FFF8CBAD"/>
        </patternFill>
      </fill>
      <border/>
    </dxf>
    <dxf>
      <font>
        <color rgb="FF2C6E49"/>
      </font>
      <fill>
        <patternFill patternType="solid">
          <fgColor rgb="FFD6E9D3"/>
          <bgColor rgb="FFD6E9D3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K40"/>
  <sheetViews>
    <sheetView showGridLines="0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ColWidth="14.43" defaultRowHeight="15" customHeight="1"/>
  <cols>
    <col width="2.43" customWidth="1" style="30" min="1" max="1"/>
    <col width="15.43" customWidth="1" style="30" min="2" max="11"/>
    <col width="8.859999999999999" customWidth="1" style="30" min="12" max="26"/>
  </cols>
  <sheetData>
    <row r="1" ht="33.75" customHeight="1" s="30">
      <c r="B1" s="2" t="inlineStr">
        <is>
          <t>Lean Canvas</t>
        </is>
      </c>
    </row>
    <row r="2" ht="15.75" customHeight="1" s="30">
      <c r="B2" s="5" t="inlineStr">
        <is>
          <t>MOR-531 Applied Product Management  ·  USC Marshall     |     Type directly into each box below. Use Alt+Enter (Option+Enter on Mac) for a new line. Do not insert or delete rows.</t>
        </is>
      </c>
    </row>
    <row r="4" ht="19.5" customHeight="1" s="30">
      <c r="B4" s="7" t="inlineStr">
        <is>
          <t>Student Name:</t>
        </is>
      </c>
      <c r="C4" s="31" t="n"/>
      <c r="D4" s="32" t="n"/>
      <c r="E4" s="33" t="n"/>
      <c r="F4" s="7" t="inlineStr">
        <is>
          <t>USC Email:</t>
        </is>
      </c>
      <c r="G4" s="31" t="n"/>
      <c r="H4" s="32" t="n"/>
      <c r="I4" s="32" t="n"/>
      <c r="J4" s="32" t="n"/>
      <c r="K4" s="33" t="n"/>
    </row>
    <row r="5" ht="24" customHeight="1" s="30">
      <c r="B5" s="7" t="inlineStr">
        <is>
          <t>Product / Venture:</t>
        </is>
      </c>
      <c r="C5" s="34" t="inlineStr">
        <is>
          <t>GroundSignal — AI Infrastructure Intelligence</t>
        </is>
      </c>
      <c r="D5" s="32" t="n"/>
      <c r="E5" s="33" t="n"/>
      <c r="F5" s="7" t="inlineStr">
        <is>
          <t>Date:</t>
        </is>
      </c>
      <c r="G5" s="35" t="inlineStr">
        <is>
          <t>September 25, 2026</t>
        </is>
      </c>
      <c r="H5" s="32" t="n"/>
      <c r="I5" s="32" t="n"/>
      <c r="J5" s="32" t="n"/>
      <c r="K5" s="33" t="n"/>
    </row>
    <row r="8" ht="18" customHeight="1" s="30">
      <c r="B8" s="36" t="inlineStr">
        <is>
          <t>1.  PROBLEM</t>
        </is>
      </c>
      <c r="C8" s="37" t="n"/>
      <c r="D8" s="36" t="inlineStr">
        <is>
          <t>4.  SOLUTION</t>
        </is>
      </c>
      <c r="E8" s="37" t="n"/>
      <c r="F8" s="36" t="inlineStr">
        <is>
          <t>3.  UNIQUE VALUE PROPOSITION</t>
        </is>
      </c>
      <c r="G8" s="37" t="n"/>
      <c r="H8" s="36" t="inlineStr">
        <is>
          <t>9.  UNFAIR ADVANTAGE</t>
        </is>
      </c>
      <c r="I8" s="37" t="n"/>
      <c r="J8" s="36" t="inlineStr">
        <is>
          <t>2.  CUSTOMER SEGMENTS</t>
        </is>
      </c>
      <c r="K8" s="37" t="n"/>
    </row>
    <row r="9" ht="21.75" customHeight="1" s="30">
      <c r="B9" s="38" t="inlineStr">
        <is>
          <t>Top 1–3 problems your customer has.</t>
        </is>
      </c>
      <c r="C9" s="37" t="n"/>
      <c r="D9" s="38" t="inlineStr">
        <is>
          <t>Outline a possible solution for each problem.</t>
        </is>
      </c>
      <c r="E9" s="37" t="n"/>
      <c r="F9" s="38" t="inlineStr">
        <is>
          <t>Single, clear, compelling message that states why you are different and worth buying.</t>
        </is>
      </c>
      <c r="G9" s="37" t="n"/>
      <c r="H9" s="38" t="inlineStr">
        <is>
          <t>Something that cannot be easily copied or bought.</t>
        </is>
      </c>
      <c r="I9" s="37" t="n"/>
      <c r="J9" s="38" t="inlineStr">
        <is>
          <t>Who are your target customers?</t>
        </is>
      </c>
      <c r="K9" s="37" t="n"/>
    </row>
    <row r="10" ht="32" customHeight="1" s="30">
      <c r="B10" s="39" t="inlineStr">
        <is>
          <t>PRIMARY PROBLEMS
1. Infrastructure inspection is manual, periodic, and reactive. Crews often discover defects after deterioration or failure has already become expensive.
2. Existing inspections produce fragmented data: photos, spreadsheets, work orders, GIS layers, sensor readings, and contractor reports are difficult to combine.
3. Infrastructure owners generate enormous amounts of physical-world data, but often lack a system that continuously converts it into prioritized maintenance decisions.
ALTERNATIVES / VARIANTS
• Road-specific: potholes, cracks, rutting, drainage, markings.
• Asset-specific: bridges, utility poles, rail, signs, guardrails, pipelines.
• Disaster-focused: rapidly identify and prioritize damage after earthquakes, floods, fires, storms.
• Fleet-focused: use existing city/utility/waste vehicles as mobile inspection platforms.</t>
        </is>
      </c>
      <c r="C10" s="40" t="n"/>
      <c r="D10" s="39" t="inlineStr">
        <is>
          <t>POSSIBLE SOLUTION
1. MOBILE SENSOR PLATFORM — Camera + IMU/accelerometer + GPS mounted on existing fleet vehicles; continuously collect infrastructure observations with minimal new field labor.
2. AI VISION — Detect cracks, potholes, deformation, corrosion, damaged signs, road markings, debris, and other visible anomalies.
3. SENSOR FUSION — Combine visual evidence with vehicle motion/impact, location, speed, and historical observations to increase confidence.
4. PRIORITIZATION ENGINE — Convert thousands of observations into a ranked maintenance queue based on severity, road/asset importance, traffic exposure, deterioration, and recurrence.
5. INFRASTRUCTURE HEALTH HISTORY — Maintain an asset-level timeline showing when a defect appeared, how it changed, and whether it was repaired.
6. TARGETED NDT — Flag suspicious assets for higher-cost inspection using LiDAR, thermal, ultrasonic, GPR, drones, or engineering crews.
ALTERNATIVES
• Low-cost V0: smartphone camera + GPS + accelerometer.
• V1: Raspberry Pi + camera + IMU + GPS with cloud AI.
• Enterprise: dedicated edge device + thermal/LiDAR/specialized NDT sensors.
• Stationary version: fixed cameras/sensors for bridges, facilities, utilities, and industrial assets.</t>
        </is>
      </c>
      <c r="E10" s="40" t="n"/>
      <c r="F10" s="39" t="inlineStr">
        <is>
          <t>RECOMMENDED UVP
“Turn every fleet vehicle into a continuous infrastructure inspector — detecting damage, verifying it with multiple sensors, tracking deterioration, and telling maintenance teams what to fix first.”
WHY IT IS DIFFERENT
• Not just “AI detects potholes”; it connects detection → verification → severity → history → action.
• Uses vehicles customers already operate instead of requiring dedicated inspection fleets.
• Combines computer vision, IMU, GPS, and temporal data.
• Creates an asset-level health record rather than isolated inspection images.
• Moves from reactive inspection toward continuous infrastructure intelligence.
ALTERNATIVE POSITIONING
A. “The health-monitoring system for the physical world.”
B. “Palantir-style intelligence for infrastructure” — use only as an internal analogy, not necessarily external marketing.
C. “Waze for infrastructure maintenance” — crowdsourced/mobile observations + prioritized actions.
D. “Predictive maintenance for roads and public infrastructure.”
E. “Infrastructure observability: know what is changing before it fails.”</t>
        </is>
      </c>
      <c r="G10" s="40" t="n"/>
      <c r="H10" s="39" t="inlineStr">
        <is>
          <t>UNFAIR-ADVANTAGE OPTIONS
1. PROPRIETARY SENSOR-FUSION DATASET — Every deployment creates paired imagery + GPS + IMU + defect + severity + repair-outcome data.
2. TEMPORAL ASSET GRAPH — Build a historical record for every asset/road segment and learn deterioration patterns over time.
3. FLEET NETWORK EFFECT — More vehicles create broader geographic coverage and repeated observations; repeated observations improve confidence and change detection.
4. DEFECT → REPAIR OUTCOME LOOP — Capture whether a maintenance action actually solved the issue, creating labeled real-world outcomes.
5. LOW-COST DEPLOYMENT — Leverage existing fleet vehicles and commodity sensors rather than dedicated inspection equipment.
6. WORKFLOW INTEGRATION — Deep integration into work orders, GIS, asset-management systems, and maintenance scheduling can create switching costs.
WHAT IS NOT AN UNFAIR ADVANTAGE
• YOLO/SAM/OpenAI/other public models by themselves are not defensible.
• Generic dashboards are not defensible.
• Hardware alone is not defensible.
LONG-TERM MOAT
Proprietary longitudinal infrastructure dataset + sensor-fusion models + asset history + customer workflow integration.</t>
        </is>
      </c>
      <c r="I10" s="40" t="n"/>
      <c r="J10" s="39" t="inlineStr">
        <is>
          <t>PRIMARY CUSTOMER SEGMENTS
1. Municipal public works / transportation departments — roads, signs, drainage, bridges.
2. Utility companies — electric, gas, water, wastewater, telecom/fiber.
3. Transit agencies — buses, rail, stations, track-adjacent infrastructure.
4. Private fleet operators — waste, logistics, delivery, utility service fleets.
5. Toll-road / highway operators — continuous pavement and roadside asset monitoring.
6. Engineering / infrastructure-management firms — automated inspection and condition data.
7. Insurance companies — pre/post-disaster damage assessment and infrastructure risk data.
8. Airports, ports, railroads, industrial campuses — high-value private infrastructure.
BEST INITIAL BEACHHEAD
Municipal/public-works or utility fleets that already drive predictable routes and have recurring inspection/maintenance costs.
LONGER-TERM
Government agencies, infrastructure owners, insurers, engineering firms, and data buyers.</t>
        </is>
      </c>
      <c r="K10" s="40" t="n"/>
    </row>
    <row r="11" ht="32" customHeight="1" s="30">
      <c r="B11" s="41" t="n"/>
      <c r="C11" s="42" t="n"/>
      <c r="D11" s="41" t="n"/>
      <c r="E11" s="42" t="n"/>
      <c r="F11" s="41" t="n"/>
      <c r="G11" s="42" t="n"/>
      <c r="H11" s="41" t="n"/>
      <c r="I11" s="42" t="n"/>
      <c r="J11" s="41" t="n"/>
      <c r="K11" s="42" t="n"/>
    </row>
    <row r="12" ht="32" customHeight="1" s="30">
      <c r="B12" s="41" t="n"/>
      <c r="C12" s="42" t="n"/>
      <c r="D12" s="41" t="n"/>
      <c r="E12" s="42" t="n"/>
      <c r="F12" s="41" t="n"/>
      <c r="G12" s="42" t="n"/>
      <c r="H12" s="41" t="n"/>
      <c r="I12" s="42" t="n"/>
      <c r="J12" s="41" t="n"/>
      <c r="K12" s="42" t="n"/>
    </row>
    <row r="13" ht="32" customHeight="1" s="30">
      <c r="B13" s="41" t="n"/>
      <c r="C13" s="42" t="n"/>
      <c r="D13" s="41" t="n"/>
      <c r="E13" s="42" t="n"/>
      <c r="F13" s="41" t="n"/>
      <c r="G13" s="42" t="n"/>
      <c r="H13" s="41" t="n"/>
      <c r="I13" s="42" t="n"/>
      <c r="J13" s="41" t="n"/>
      <c r="K13" s="42" t="n"/>
    </row>
    <row r="14" ht="32" customHeight="1" s="30">
      <c r="B14" s="41" t="n"/>
      <c r="C14" s="42" t="n"/>
      <c r="D14" s="41" t="n"/>
      <c r="E14" s="42" t="n"/>
      <c r="F14" s="41" t="n"/>
      <c r="G14" s="42" t="n"/>
      <c r="H14" s="41" t="n"/>
      <c r="I14" s="42" t="n"/>
      <c r="J14" s="41" t="n"/>
      <c r="K14" s="42" t="n"/>
    </row>
    <row r="15" ht="32" customHeight="1" s="30">
      <c r="B15" s="41" t="n"/>
      <c r="C15" s="42" t="n"/>
      <c r="D15" s="41" t="n"/>
      <c r="E15" s="42" t="n"/>
      <c r="F15" s="41" t="n"/>
      <c r="G15" s="42" t="n"/>
      <c r="H15" s="41" t="n"/>
      <c r="I15" s="42" t="n"/>
      <c r="J15" s="41" t="n"/>
      <c r="K15" s="42" t="n"/>
    </row>
    <row r="16" ht="32" customHeight="1" s="30">
      <c r="B16" s="41" t="n"/>
      <c r="C16" s="42" t="n"/>
      <c r="D16" s="41" t="n"/>
      <c r="E16" s="42" t="n"/>
      <c r="F16" s="41" t="n"/>
      <c r="G16" s="42" t="n"/>
      <c r="H16" s="41" t="n"/>
      <c r="I16" s="42" t="n"/>
      <c r="J16" s="41" t="n"/>
      <c r="K16" s="42" t="n"/>
    </row>
    <row r="17" ht="32" customHeight="1" s="30">
      <c r="B17" s="41" t="n"/>
      <c r="C17" s="42" t="n"/>
      <c r="D17" s="41" t="n"/>
      <c r="E17" s="42" t="n"/>
      <c r="F17" s="41" t="n"/>
      <c r="G17" s="42" t="n"/>
      <c r="H17" s="41" t="n"/>
      <c r="I17" s="42" t="n"/>
      <c r="J17" s="41" t="n"/>
      <c r="K17" s="42" t="n"/>
    </row>
    <row r="18" ht="32" customHeight="1" s="30">
      <c r="B18" s="43" t="n"/>
      <c r="C18" s="44" t="n"/>
      <c r="D18" s="43" t="n"/>
      <c r="E18" s="44" t="n"/>
      <c r="F18" s="43" t="n"/>
      <c r="G18" s="44" t="n"/>
      <c r="H18" s="43" t="n"/>
      <c r="I18" s="44" t="n"/>
      <c r="J18" s="43" t="n"/>
      <c r="K18" s="44" t="n"/>
    </row>
    <row r="19" ht="18" customHeight="1" s="30">
      <c r="B19" s="36" t="inlineStr">
        <is>
          <t>EXISTING ALTERNATIVES</t>
        </is>
      </c>
      <c r="C19" s="37" t="n"/>
      <c r="D19" s="36" t="inlineStr">
        <is>
          <t>8.  KEY METRICS</t>
        </is>
      </c>
      <c r="E19" s="37" t="n"/>
      <c r="F19" s="36" t="inlineStr">
        <is>
          <t>HIGH-LEVEL CONCEPT</t>
        </is>
      </c>
      <c r="G19" s="37" t="n"/>
      <c r="H19" s="36" t="inlineStr">
        <is>
          <t>5.  CHANNELS</t>
        </is>
      </c>
      <c r="I19" s="37" t="n"/>
      <c r="J19" s="36" t="inlineStr">
        <is>
          <t>EARLY ADOPTERS</t>
        </is>
      </c>
      <c r="K19" s="37" t="n"/>
    </row>
    <row r="20" ht="21.75" customHeight="1" s="30">
      <c r="B20" s="38" t="inlineStr">
        <is>
          <t>How are these problems solved today?</t>
        </is>
      </c>
      <c r="C20" s="37" t="n"/>
      <c r="D20" s="38" t="inlineStr">
        <is>
          <t>Key activities you measure.</t>
        </is>
      </c>
      <c r="E20" s="37" t="n"/>
      <c r="F20" s="38" t="inlineStr">
        <is>
          <t>Your X-for-Y analogy (e.g. "YouTube for X").</t>
        </is>
      </c>
      <c r="G20" s="37" t="n"/>
      <c r="H20" s="38" t="inlineStr">
        <is>
          <t>Your path to customers.</t>
        </is>
      </c>
      <c r="I20" s="37" t="n"/>
      <c r="J20" s="38" t="inlineStr">
        <is>
          <t>Characteristics of your ideal early adopter.</t>
        </is>
      </c>
      <c r="K20" s="37" t="n"/>
    </row>
    <row r="21" ht="32" customHeight="1" s="30">
      <c r="B21" s="39" t="inlineStr">
        <is>
          <t>EXISTING ALTERNATIVES
1. Manual inspections — field crews drive/walk assets and record defects.
2. Dedicated inspection vehicles — cameras/LiDAR/specialized hardware collect periodic surveys.
3. Drone inspections — useful for bridges, towers, roofs, and difficult-to-access assets.
4. Satellite/aerial imagery — broad coverage but often lacks street-level detail and frequent observations.
5. Computer-vision vendors — automate specific asset/defect detection but may focus on detection rather than maintenance prioritization.
6. GIS + spreadsheets + work-order systems — store information but often do not continuously generate it or fuse sensor data.
7. Citizen reporting apps — low-cost observations but inconsistent coverage/quality.
8. Specialized NDT — ultrasonic, GPR, thermal, acoustic, or engineering inspection for high-risk assets.
OUR WEDGE
Do not claim to replace these tools. Combine the low-cost continuous coverage of ordinary fleet vehicles with AI and targeted specialized inspection.</t>
        </is>
      </c>
      <c r="C21" s="40" t="n"/>
      <c r="D21" s="39" t="inlineStr">
        <is>
          <t>KEY METRICS
PRODUCT / AI
• Detection precision and recall by defect type
• False positives per mile
• Defects detected per 100 miles
• Sensor-fusion confirmation rate
• Geolocation accuracy
• Time from observation to actionable alert
CUSTOMER VALUE
• Inspection hours saved
• Cost per mile monitored
• Maintenance response time
• % of high-priority defects identified before escalation
• Repair backlog reduction
• Cost avoided / maintenance dollars better allocated
NETWORK / DATA
• Fleet vehicles deployed
• Miles monitored per week
• Unique assets observed
• Repeat observations per asset
• % of assets with longitudinal histories
• Data coverage by geography
BUSINESS
• Pilot-to-paid conversion
• ARR per vehicle / per customer
• Gross margin
• Net retention
• Customer acquisition cost
• Payback period
EARLY EXPERIMENT METRICS
Aim to prove: reliable detection + useful prioritization + willingness to pilot, rather than claiming predictive failure accuracy prematurely.</t>
        </is>
      </c>
      <c r="E21" s="40" t="n"/>
      <c r="F21" s="39" t="inlineStr">
        <is>
          <t>HIGH-LEVEL CONCEPT OPTIONS
RECOMMENDED:
“Waze + Fitbit for infrastructure.”
• Waze: continuous mobile observations and location intelligence.
• Fitbit: creates a longitudinal “health” record.
• GroundSignal: turns those signals into maintenance actions.
OTHER ANALOGIES
1. “Palantir for physical infrastructure” — infrastructure data integration + operational decisions.
2. “Google Street View that understands infrastructure health” — visual mapping + AI condition assessment.
3. “Predictive maintenance for cities” — condition monitoring before expensive failures.
4. “The nervous system for infrastructure” — distributed sensors continuously reporting anomalies.
5. “Bloomberg Terminal for infrastructure assets” — persistent asset-level intelligence, risk, and history.
USE WITH CAUTION
Analogies should explain the concept, not imply the product has the same scope or capabilities as those companies.</t>
        </is>
      </c>
      <c r="G21" s="40" t="n"/>
      <c r="H21" s="39" t="inlineStr">
        <is>
          <t>CHANNELS
PILOT / SALES
• Direct outreach to public-works directors, transportation directors, fleet managers, utility asset managers.
• USC / LA municipal and infrastructure network.
• Engineering firms as channel partners.
• Fleet-management and telematics partnerships.
• Industry conferences and infrastructure associations.
• Government innovation / pilot programs.
• SBIR/STTR or similar non-dilutive programs where applicable.
LAND-AND-EXPAND
1. One vehicle / one route / 2–4 week pilot.
2. Prove coverage + detection + prioritized maintenance.
3. Expand to full fleet.
4. Expand from roads to signs, drainage, bridges, utility assets.
5. Expand from one city/network to regional/state contracts.
SALES MATERIAL
• Live vehicle demo
• Before/after condition map
• Maintenance-priority queue
• ROI calculator
• Sample infrastructure health report</t>
        </is>
      </c>
      <c r="I21" s="40" t="n"/>
      <c r="J21" s="39" t="inlineStr">
        <is>
          <t>EARLY ADOPTERS
IDEAL CHARACTERISTICS
• Own/operate large physical infrastructure.
• Have vehicles already driving predictable routes.
• Conduct recurring inspections.
• Have a visible maintenance backlog.
• Have limited inspection staff.
• Have GIS/asset-management data that can be integrated.
• Can approve a small pilot without a multi-year procurement cycle.
BEST FIRST PROFILES
1. Mid-size city/county public works department.
2. Waste-management fleet with dense daily route coverage.
3. Utility service fleet with repeated routes.
4. Transit bus operator.
5. Private toll-road/highway operator.
6. Engineering firm looking to automate data collection.
BUYER
Director of Public Works / Asset Management / Fleet / Transportation.
USER
Field inspector, maintenance planner, GIS analyst, operations manager.
ECONOMIC BUYER
Department head, city/county procurement, utility asset executive, infrastructure owner.</t>
        </is>
      </c>
      <c r="K21" s="40" t="n"/>
    </row>
    <row r="22" ht="32" customHeight="1" s="30">
      <c r="B22" s="41" t="n"/>
      <c r="C22" s="42" t="n"/>
      <c r="D22" s="41" t="n"/>
      <c r="E22" s="42" t="n"/>
      <c r="F22" s="41" t="n"/>
      <c r="G22" s="42" t="n"/>
      <c r="H22" s="41" t="n"/>
      <c r="I22" s="42" t="n"/>
      <c r="J22" s="41" t="n"/>
      <c r="K22" s="42" t="n"/>
    </row>
    <row r="23" ht="32" customHeight="1" s="30">
      <c r="B23" s="41" t="n"/>
      <c r="C23" s="42" t="n"/>
      <c r="D23" s="41" t="n"/>
      <c r="E23" s="42" t="n"/>
      <c r="F23" s="41" t="n"/>
      <c r="G23" s="42" t="n"/>
      <c r="H23" s="41" t="n"/>
      <c r="I23" s="42" t="n"/>
      <c r="J23" s="41" t="n"/>
      <c r="K23" s="42" t="n"/>
    </row>
    <row r="24" ht="32" customHeight="1" s="30">
      <c r="B24" s="41" t="n"/>
      <c r="C24" s="42" t="n"/>
      <c r="D24" s="41" t="n"/>
      <c r="E24" s="42" t="n"/>
      <c r="F24" s="41" t="n"/>
      <c r="G24" s="42" t="n"/>
      <c r="H24" s="41" t="n"/>
      <c r="I24" s="42" t="n"/>
      <c r="J24" s="41" t="n"/>
      <c r="K24" s="42" t="n"/>
    </row>
    <row r="25" ht="32" customHeight="1" s="30">
      <c r="B25" s="41" t="n"/>
      <c r="C25" s="42" t="n"/>
      <c r="D25" s="41" t="n"/>
      <c r="E25" s="42" t="n"/>
      <c r="F25" s="41" t="n"/>
      <c r="G25" s="42" t="n"/>
      <c r="H25" s="41" t="n"/>
      <c r="I25" s="42" t="n"/>
      <c r="J25" s="41" t="n"/>
      <c r="K25" s="42" t="n"/>
    </row>
    <row r="26" ht="32" customHeight="1" s="30">
      <c r="B26" s="41" t="n"/>
      <c r="C26" s="42" t="n"/>
      <c r="D26" s="41" t="n"/>
      <c r="E26" s="42" t="n"/>
      <c r="F26" s="41" t="n"/>
      <c r="G26" s="42" t="n"/>
      <c r="H26" s="41" t="n"/>
      <c r="I26" s="42" t="n"/>
      <c r="J26" s="41" t="n"/>
      <c r="K26" s="42" t="n"/>
    </row>
    <row r="27" ht="32" customHeight="1" s="30">
      <c r="B27" s="43" t="n"/>
      <c r="C27" s="44" t="n"/>
      <c r="D27" s="43" t="n"/>
      <c r="E27" s="44" t="n"/>
      <c r="F27" s="43" t="n"/>
      <c r="G27" s="44" t="n"/>
      <c r="H27" s="43" t="n"/>
      <c r="I27" s="44" t="n"/>
      <c r="J27" s="43" t="n"/>
      <c r="K27" s="44" t="n"/>
    </row>
    <row r="28" ht="15" customHeight="1" s="30"/>
    <row r="29" ht="18" customHeight="1" s="30">
      <c r="B29" s="36" t="inlineStr">
        <is>
          <t>7.  COST STRUCTURE</t>
        </is>
      </c>
      <c r="C29" s="45" t="n"/>
      <c r="D29" s="45" t="n"/>
      <c r="E29" s="45" t="n"/>
      <c r="F29" s="37" t="n"/>
      <c r="G29" s="36" t="inlineStr">
        <is>
          <t>6.  REVENUE STREAMS</t>
        </is>
      </c>
      <c r="H29" s="45" t="n"/>
      <c r="I29" s="45" t="n"/>
      <c r="J29" s="45" t="n"/>
      <c r="K29" s="37" t="n"/>
    </row>
    <row r="30" ht="21.75" customHeight="1" s="30">
      <c r="B30" s="38" t="inlineStr">
        <is>
          <t>Customer acquisition costs, distribution, hosting, people, etc.</t>
        </is>
      </c>
      <c r="C30" s="45" t="n"/>
      <c r="D30" s="45" t="n"/>
      <c r="E30" s="45" t="n"/>
      <c r="F30" s="37" t="n"/>
      <c r="G30" s="38" t="inlineStr">
        <is>
          <t>Revenue model, lifetime value, gross margin.</t>
        </is>
      </c>
      <c r="H30" s="45" t="n"/>
      <c r="I30" s="45" t="n"/>
      <c r="J30" s="45" t="n"/>
      <c r="K30" s="37" t="n"/>
    </row>
    <row r="31" ht="32" customHeight="1" s="30">
      <c r="B31" s="39" t="inlineStr">
        <is>
          <t>COST STRUCTURE
HARDWARE
• Camera / smartphone
• IMU / accelerometer
• GPS
• Raspberry Pi or edge compute
• Optional thermal / LiDAR / specialized NDT sensors
• Mounts, enclosure, power, storage
SOFTWARE / AI
• Cloud compute and inference
• Computer-vision models
• Database / GIS / mapping
• Data storage
• Model training and labeling
• Monitoring / cybersecurity
PEOPLE
• ML / computer vision engineering
• Full-stack / backend engineering
• Product / customer success
• Sales / government procurement
• Infrastructure engineering advisors
GO-TO-MARKET
• Pilots
• Travel / field installation
• Sales
• Conferences / partnerships
• Government procurement support
COST-DOWN OPTIONS
• Use existing smartphones
• Run inexpensive edge inference where possible
• Batch non-urgent processing
• Use open-source models
• Reuse existing fleet telematics data.</t>
        </is>
      </c>
      <c r="C31" s="46" t="n"/>
      <c r="D31" s="46" t="n"/>
      <c r="E31" s="46" t="n"/>
      <c r="F31" s="40" t="n"/>
      <c r="G31" s="39" t="inlineStr">
        <is>
          <t>REVENUE STREAMS
RECOMMENDED STARTING MODEL
1. SaaS platform fee + per-vehicle subscription.
   Example hypothesis: $500–$2,000 per vehicle/year depending on capabilities.
2. Enterprise / municipal annual platform contract.
   Example hypothesis: $50K–$250K+ annually for larger networks.
3. One-time hardware / installation fee if customers need dedicated devices.
EXPANSION REVENUE
• Premium analytics / predictive deterioration
• Specialized sensor modules
• Disaster-response rapid assessment
• API / data licensing
• Engineering inspection referrals
• Historical infrastructure datasets
• Enterprise integrations
• Insurance / risk analytics
POTENTIAL PRICING STRUCTURES
A. Per vehicle
B. Per mile monitored
C. Per asset monitored
D. Per geographic area
E. Annual enterprise license
F. Hybrid: platform + vehicle + data volume
IMPORTANT
These are pricing hypotheses for validation, not established market prices.</t>
        </is>
      </c>
      <c r="H31" s="46" t="n"/>
      <c r="I31" s="46" t="n"/>
      <c r="J31" s="46" t="n"/>
      <c r="K31" s="40" t="n"/>
    </row>
    <row r="32" ht="32" customHeight="1" s="30">
      <c r="B32" s="41" t="n"/>
      <c r="F32" s="42" t="n"/>
      <c r="G32" s="41" t="n"/>
      <c r="K32" s="42" t="n"/>
    </row>
    <row r="33" ht="32" customHeight="1" s="30">
      <c r="B33" s="41" t="n"/>
      <c r="F33" s="42" t="n"/>
      <c r="G33" s="41" t="n"/>
      <c r="K33" s="42" t="n"/>
    </row>
    <row r="34" ht="32" customHeight="1" s="30">
      <c r="B34" s="41" t="n"/>
      <c r="F34" s="42" t="n"/>
      <c r="G34" s="41" t="n"/>
      <c r="K34" s="42" t="n"/>
    </row>
    <row r="35" ht="32" customHeight="1" s="30">
      <c r="B35" s="41" t="n"/>
      <c r="F35" s="42" t="n"/>
      <c r="G35" s="41" t="n"/>
      <c r="K35" s="42" t="n"/>
    </row>
    <row r="36" ht="32" customHeight="1" s="30">
      <c r="B36" s="43" t="n"/>
      <c r="C36" s="47" t="n"/>
      <c r="D36" s="47" t="n"/>
      <c r="E36" s="47" t="n"/>
      <c r="F36" s="44" t="n"/>
      <c r="G36" s="43" t="n"/>
      <c r="H36" s="47" t="n"/>
      <c r="I36" s="47" t="n"/>
      <c r="J36" s="47" t="n"/>
      <c r="K36" s="44" t="n"/>
    </row>
    <row r="37" ht="15.75" customHeight="1" s="30"/>
    <row r="38" ht="15.75" customHeight="1" s="30">
      <c r="B38" s="28" t="inlineStr">
        <is>
          <t>Lean Canvas is adapted from The Business Model Canvas (businessmodelgeneration.com/canvas) and is licensed under the</t>
        </is>
      </c>
    </row>
    <row r="39" ht="15.75" customHeight="1" s="30">
      <c r="B39" s="28" t="inlineStr">
        <is>
          <t>Creative Commons Attribution-Share Alike 3.0 Unported License — http://creativecommons.org/licenses/by-sa/3.0/</t>
        </is>
      </c>
    </row>
    <row r="40" ht="15.75" customHeight="1" s="30">
      <c r="B40" s="28" t="inlineStr">
        <is>
          <t>Lean Canvas concept by Ash Maurya (leanstack.com). Course template prepared for MOR-531, USC Marshall School of Business.</t>
        </is>
      </c>
    </row>
    <row r="41" ht="15.75" customHeight="1" s="30"/>
    <row r="42" ht="15.75" customHeight="1" s="30"/>
    <row r="43" ht="15.75" customHeight="1" s="30"/>
    <row r="44" ht="15.75" customHeight="1" s="30"/>
    <row r="45" ht="15.75" customHeight="1" s="30"/>
    <row r="46" ht="15.75" customHeight="1" s="30"/>
    <row r="47" ht="15.75" customHeight="1" s="30"/>
    <row r="48" ht="15.75" customHeight="1" s="30"/>
    <row r="49" ht="15.75" customHeight="1" s="30"/>
    <row r="50" ht="15.75" customHeight="1" s="30"/>
    <row r="51" ht="15.75" customHeight="1" s="30"/>
    <row r="52" ht="15.75" customHeight="1" s="30"/>
    <row r="53" ht="15.75" customHeight="1" s="30"/>
    <row r="54" ht="15.75" customHeight="1" s="30"/>
    <row r="55" ht="15.75" customHeight="1" s="30"/>
    <row r="56" ht="15.75" customHeight="1" s="30"/>
    <row r="57" ht="15.75" customHeight="1" s="30"/>
    <row r="58" ht="15.75" customHeight="1" s="30"/>
    <row r="59" ht="15.75" customHeight="1" s="30"/>
    <row r="60" ht="15.75" customHeight="1" s="30"/>
    <row r="61" ht="15.75" customHeight="1" s="30"/>
    <row r="62" ht="15.75" customHeight="1" s="30"/>
    <row r="63" ht="15.75" customHeight="1" s="30"/>
    <row r="64" ht="15.75" customHeight="1" s="30"/>
    <row r="65" ht="15.75" customHeight="1" s="30"/>
    <row r="66" ht="15.75" customHeight="1" s="30"/>
    <row r="67" ht="15.75" customHeight="1" s="30"/>
    <row r="68" ht="15.75" customHeight="1" s="30"/>
    <row r="69" ht="15.75" customHeight="1" s="30"/>
    <row r="70" ht="15.75" customHeight="1" s="30"/>
    <row r="71" ht="15.75" customHeight="1" s="30"/>
    <row r="72" ht="15.75" customHeight="1" s="30"/>
    <row r="73" ht="15.75" customHeight="1" s="30"/>
    <row r="74" ht="15.75" customHeight="1" s="30"/>
    <row r="75" ht="15.75" customHeight="1" s="30"/>
    <row r="76" ht="15.75" customHeight="1" s="30"/>
    <row r="77" ht="15.75" customHeight="1" s="30"/>
    <row r="78" ht="15.75" customHeight="1" s="30"/>
    <row r="79" ht="15.75" customHeight="1" s="30"/>
    <row r="80" ht="15.75" customHeight="1" s="30"/>
    <row r="81" ht="15.75" customHeight="1" s="30"/>
    <row r="82" ht="15.75" customHeight="1" s="30"/>
    <row r="83" ht="15.75" customHeight="1" s="30"/>
    <row r="84" ht="15.75" customHeight="1" s="30"/>
    <row r="85" ht="15.75" customHeight="1" s="30"/>
    <row r="86" ht="15.75" customHeight="1" s="30"/>
    <row r="87" ht="15.75" customHeight="1" s="30"/>
    <row r="88" ht="15.75" customHeight="1" s="30"/>
    <row r="89" ht="15.75" customHeight="1" s="30"/>
    <row r="90" ht="15.75" customHeight="1" s="30"/>
    <row r="91" ht="15.75" customHeight="1" s="30"/>
    <row r="92" ht="15.75" customHeight="1" s="30"/>
    <row r="93" ht="15.75" customHeight="1" s="30"/>
    <row r="94" ht="15.75" customHeight="1" s="30"/>
    <row r="95" ht="15.75" customHeight="1" s="30"/>
    <row r="96" ht="15.75" customHeight="1" s="30"/>
    <row r="97" ht="15.75" customHeight="1" s="30"/>
    <row r="98" ht="15.75" customHeight="1" s="30"/>
    <row r="99" ht="15.75" customHeight="1" s="30"/>
    <row r="100" ht="15.75" customHeight="1" s="30"/>
    <row r="101" ht="15.75" customHeight="1" s="30"/>
    <row r="102" ht="15.75" customHeight="1" s="30"/>
    <row r="103" ht="15.75" customHeight="1" s="30"/>
    <row r="104" ht="15.75" customHeight="1" s="30"/>
    <row r="105" ht="15.75" customHeight="1" s="30"/>
    <row r="106" ht="15.75" customHeight="1" s="30"/>
    <row r="107" ht="15.75" customHeight="1" s="30"/>
    <row r="108" ht="15.75" customHeight="1" s="30"/>
    <row r="109" ht="15.75" customHeight="1" s="30"/>
    <row r="110" ht="15.75" customHeight="1" s="30"/>
    <row r="111" ht="15.75" customHeight="1" s="30"/>
    <row r="112" ht="15.75" customHeight="1" s="30"/>
    <row r="113" ht="15.75" customHeight="1" s="30"/>
    <row r="114" ht="15.75" customHeight="1" s="30"/>
    <row r="115" ht="15.75" customHeight="1" s="30"/>
    <row r="116" ht="15.75" customHeight="1" s="30"/>
    <row r="117" ht="15.75" customHeight="1" s="30"/>
    <row r="118" ht="15.75" customHeight="1" s="30"/>
    <row r="119" ht="15.75" customHeight="1" s="30"/>
    <row r="120" ht="15.75" customHeight="1" s="30"/>
    <row r="121" ht="15.75" customHeight="1" s="30"/>
    <row r="122" ht="15.75" customHeight="1" s="30"/>
    <row r="123" ht="15.75" customHeight="1" s="30"/>
    <row r="124" ht="15.75" customHeight="1" s="30"/>
    <row r="125" ht="15.75" customHeight="1" s="30"/>
    <row r="126" ht="15.75" customHeight="1" s="30"/>
    <row r="127" ht="15.75" customHeight="1" s="30"/>
    <row r="128" ht="15.75" customHeight="1" s="30"/>
    <row r="129" ht="15.75" customHeight="1" s="30"/>
    <row r="130" ht="15.75" customHeight="1" s="30"/>
    <row r="131" ht="15.75" customHeight="1" s="30"/>
    <row r="132" ht="15.75" customHeight="1" s="30"/>
    <row r="133" ht="15.75" customHeight="1" s="30"/>
    <row r="134" ht="15.75" customHeight="1" s="30"/>
    <row r="135" ht="15.75" customHeight="1" s="30"/>
    <row r="136" ht="15.75" customHeight="1" s="30"/>
    <row r="137" ht="15.75" customHeight="1" s="30"/>
    <row r="138" ht="15.75" customHeight="1" s="30"/>
    <row r="139" ht="15.75" customHeight="1" s="30"/>
    <row r="140" ht="15.75" customHeight="1" s="30"/>
    <row r="141" ht="15.75" customHeight="1" s="30"/>
    <row r="142" ht="15.75" customHeight="1" s="30"/>
    <row r="143" ht="15.75" customHeight="1" s="30"/>
    <row r="144" ht="15.75" customHeight="1" s="30"/>
    <row r="145" ht="15.75" customHeight="1" s="30"/>
    <row r="146" ht="15.75" customHeight="1" s="30"/>
    <row r="147" ht="15.75" customHeight="1" s="30"/>
    <row r="148" ht="15.75" customHeight="1" s="30"/>
    <row r="149" ht="15.75" customHeight="1" s="30"/>
    <row r="150" ht="15.75" customHeight="1" s="30"/>
    <row r="151" ht="15.75" customHeight="1" s="30"/>
    <row r="152" ht="15.75" customHeight="1" s="30"/>
    <row r="153" ht="15.75" customHeight="1" s="30"/>
    <row r="154" ht="15.75" customHeight="1" s="30"/>
    <row r="155" ht="15.75" customHeight="1" s="30"/>
    <row r="156" ht="15.75" customHeight="1" s="30"/>
    <row r="157" ht="15.75" customHeight="1" s="30"/>
    <row r="158" ht="15.75" customHeight="1" s="30"/>
    <row r="159" ht="15.75" customHeight="1" s="30"/>
    <row r="160" ht="15.75" customHeight="1" s="30"/>
    <row r="161" ht="15.75" customHeight="1" s="30"/>
    <row r="162" ht="15.75" customHeight="1" s="30"/>
    <row r="163" ht="15.75" customHeight="1" s="30"/>
    <row r="164" ht="15.75" customHeight="1" s="30"/>
    <row r="165" ht="15.75" customHeight="1" s="30"/>
    <row r="166" ht="15.75" customHeight="1" s="30"/>
    <row r="167" ht="15.75" customHeight="1" s="30"/>
    <row r="168" ht="15.75" customHeight="1" s="30"/>
    <row r="169" ht="15.75" customHeight="1" s="30"/>
    <row r="170" ht="15.75" customHeight="1" s="30"/>
    <row r="171" ht="15.75" customHeight="1" s="30"/>
    <row r="172" ht="15.75" customHeight="1" s="30"/>
    <row r="173" ht="15.75" customHeight="1" s="30"/>
    <row r="174" ht="15.75" customHeight="1" s="30"/>
    <row r="175" ht="15.75" customHeight="1" s="30"/>
    <row r="176" ht="15.75" customHeight="1" s="30"/>
    <row r="177" ht="15.75" customHeight="1" s="30"/>
    <row r="178" ht="15.75" customHeight="1" s="30"/>
    <row r="179" ht="15.75" customHeight="1" s="30"/>
    <row r="180" ht="15.75" customHeight="1" s="30"/>
    <row r="181" ht="15.75" customHeight="1" s="30"/>
    <row r="182" ht="15.75" customHeight="1" s="30"/>
    <row r="183" ht="15.75" customHeight="1" s="30"/>
    <row r="184" ht="15.75" customHeight="1" s="30"/>
    <row r="185" ht="15.75" customHeight="1" s="30"/>
    <row r="186" ht="15.75" customHeight="1" s="30"/>
    <row r="187" ht="15.75" customHeight="1" s="30"/>
    <row r="188" ht="15.75" customHeight="1" s="30"/>
    <row r="189" ht="15.75" customHeight="1" s="30"/>
    <row r="190" ht="15.75" customHeight="1" s="30"/>
    <row r="191" ht="15.75" customHeight="1" s="30"/>
    <row r="192" ht="15.75" customHeight="1" s="30"/>
    <row r="193" ht="15.75" customHeight="1" s="30"/>
    <row r="194" ht="15.75" customHeight="1" s="30"/>
    <row r="195" ht="15.75" customHeight="1" s="30"/>
    <row r="196" ht="15.75" customHeight="1" s="30"/>
    <row r="197" ht="15.75" customHeight="1" s="30"/>
    <row r="198" ht="15.75" customHeight="1" s="30"/>
    <row r="199" ht="15.75" customHeight="1" s="30"/>
    <row r="200" ht="15.75" customHeight="1" s="30"/>
    <row r="201" ht="15.75" customHeight="1" s="30"/>
    <row r="202" ht="15.75" customHeight="1" s="30"/>
    <row r="203" ht="15.75" customHeight="1" s="30"/>
    <row r="204" ht="15.75" customHeight="1" s="30"/>
    <row r="205" ht="15.75" customHeight="1" s="30"/>
    <row r="206" ht="15.75" customHeight="1" s="30"/>
    <row r="207" ht="15.75" customHeight="1" s="30"/>
    <row r="208" ht="15.75" customHeight="1" s="30"/>
    <row r="209" ht="15.75" customHeight="1" s="30"/>
    <row r="210" ht="15.75" customHeight="1" s="30"/>
    <row r="211" ht="15.75" customHeight="1" s="30"/>
    <row r="212" ht="15.75" customHeight="1" s="30"/>
    <row r="213" ht="15.75" customHeight="1" s="30"/>
    <row r="214" ht="15.75" customHeight="1" s="30"/>
    <row r="215" ht="15.75" customHeight="1" s="30"/>
    <row r="216" ht="15.75" customHeight="1" s="30"/>
    <row r="217" ht="15.75" customHeight="1" s="30"/>
    <row r="218" ht="15.75" customHeight="1" s="30"/>
    <row r="219" ht="15.75" customHeight="1" s="30"/>
    <row r="220" ht="15.75" customHeight="1" s="30"/>
    <row r="221" ht="15.75" customHeight="1" s="30"/>
    <row r="222" ht="15.75" customHeight="1" s="30"/>
    <row r="223" ht="15.75" customHeight="1" s="30"/>
    <row r="224" ht="15.75" customHeight="1" s="30"/>
    <row r="225" ht="15.75" customHeight="1" s="30"/>
    <row r="226" ht="15.75" customHeight="1" s="30"/>
    <row r="227" ht="15.75" customHeight="1" s="30"/>
    <row r="228" ht="15.75" customHeight="1" s="30"/>
    <row r="229" ht="15.75" customHeight="1" s="30"/>
    <row r="230" ht="15.75" customHeight="1" s="30"/>
    <row r="231" ht="15.75" customHeight="1" s="30"/>
    <row r="232" ht="15.75" customHeight="1" s="30"/>
    <row r="233" ht="15.75" customHeight="1" s="30"/>
    <row r="234" ht="15.75" customHeight="1" s="30"/>
    <row r="235" ht="15.75" customHeight="1" s="30"/>
    <row r="236" ht="15.75" customHeight="1" s="30"/>
    <row r="237" ht="15.75" customHeight="1" s="30"/>
    <row r="238" ht="15.75" customHeight="1" s="30"/>
    <row r="239" ht="15.75" customHeight="1" s="30"/>
    <row r="240" ht="15.75" customHeight="1" s="30"/>
    <row r="241" ht="15.75" customHeight="1" s="30"/>
    <row r="242" ht="15.75" customHeight="1" s="30"/>
    <row r="243" ht="15.75" customHeight="1" s="30"/>
    <row r="244" ht="15.75" customHeight="1" s="30"/>
    <row r="245" ht="15.75" customHeight="1" s="30"/>
    <row r="246" ht="15.75" customHeight="1" s="30"/>
    <row r="247" ht="15.75" customHeight="1" s="30"/>
    <row r="248" ht="15.75" customHeight="1" s="30"/>
    <row r="249" ht="15.75" customHeight="1" s="30"/>
    <row r="250" ht="15.75" customHeight="1" s="30"/>
    <row r="251" ht="15.75" customHeight="1" s="30"/>
    <row r="252" ht="15.75" customHeight="1" s="30"/>
    <row r="253" ht="15.75" customHeight="1" s="30"/>
    <row r="254" ht="15.75" customHeight="1" s="30"/>
    <row r="255" ht="15.75" customHeight="1" s="30"/>
    <row r="256" ht="15.75" customHeight="1" s="30"/>
    <row r="257" ht="15.75" customHeight="1" s="30"/>
    <row r="258" ht="15.75" customHeight="1" s="30"/>
    <row r="259" ht="15.75" customHeight="1" s="30"/>
    <row r="260" ht="15.75" customHeight="1" s="30"/>
    <row r="261" ht="15.75" customHeight="1" s="30"/>
    <row r="262" ht="15.75" customHeight="1" s="30"/>
    <row r="263" ht="15.75" customHeight="1" s="30"/>
    <row r="264" ht="15.75" customHeight="1" s="30"/>
    <row r="265" ht="15.75" customHeight="1" s="30"/>
    <row r="266" ht="15.75" customHeight="1" s="30"/>
    <row r="267" ht="15.75" customHeight="1" s="30"/>
    <row r="268" ht="15.75" customHeight="1" s="30"/>
    <row r="269" ht="15.75" customHeight="1" s="30"/>
    <row r="270" ht="15.75" customHeight="1" s="30"/>
    <row r="271" ht="15.75" customHeight="1" s="30"/>
    <row r="272" ht="15.75" customHeight="1" s="30"/>
    <row r="273" ht="15.75" customHeight="1" s="30"/>
    <row r="274" ht="15.75" customHeight="1" s="30"/>
    <row r="275" ht="15.75" customHeight="1" s="30"/>
    <row r="276" ht="15.75" customHeight="1" s="30"/>
    <row r="277" ht="15.75" customHeight="1" s="30"/>
    <row r="278" ht="15.75" customHeight="1" s="30"/>
    <row r="279" ht="15.75" customHeight="1" s="30"/>
    <row r="280" ht="15.75" customHeight="1" s="30"/>
    <row r="281" ht="15.75" customHeight="1" s="30"/>
    <row r="282" ht="15.75" customHeight="1" s="30"/>
    <row r="283" ht="15.75" customHeight="1" s="30"/>
    <row r="284" ht="15.75" customHeight="1" s="30"/>
    <row r="285" ht="15.75" customHeight="1" s="30"/>
    <row r="286" ht="15.75" customHeight="1" s="30"/>
    <row r="287" ht="15.75" customHeight="1" s="30"/>
    <row r="288" ht="15.75" customHeight="1" s="30"/>
    <row r="289" ht="15.75" customHeight="1" s="30"/>
    <row r="290" ht="15.75" customHeight="1" s="30"/>
    <row r="291" ht="15.75" customHeight="1" s="30"/>
    <row r="292" ht="15.75" customHeight="1" s="30"/>
    <row r="293" ht="15.75" customHeight="1" s="30"/>
    <row r="294" ht="15.75" customHeight="1" s="30"/>
    <row r="295" ht="15.75" customHeight="1" s="30"/>
    <row r="296" ht="15.75" customHeight="1" s="30"/>
    <row r="297" ht="15.75" customHeight="1" s="30"/>
    <row r="298" ht="15.75" customHeight="1" s="30"/>
    <row r="299" ht="15.75" customHeight="1" s="30"/>
    <row r="300" ht="15.75" customHeight="1" s="30"/>
    <row r="301" ht="15.75" customHeight="1" s="30"/>
    <row r="302" ht="15.75" customHeight="1" s="30"/>
    <row r="303" ht="15.75" customHeight="1" s="30"/>
    <row r="304" ht="15.75" customHeight="1" s="30"/>
    <row r="305" ht="15.75" customHeight="1" s="30"/>
    <row r="306" ht="15.75" customHeight="1" s="30"/>
    <row r="307" ht="15.75" customHeight="1" s="30"/>
    <row r="308" ht="15.75" customHeight="1" s="30"/>
    <row r="309" ht="15.75" customHeight="1" s="30"/>
    <row r="310" ht="15.75" customHeight="1" s="30"/>
    <row r="311" ht="15.75" customHeight="1" s="30"/>
    <row r="312" ht="15.75" customHeight="1" s="30"/>
    <row r="313" ht="15.75" customHeight="1" s="30"/>
    <row r="314" ht="15.75" customHeight="1" s="30"/>
    <row r="315" ht="15.75" customHeight="1" s="30"/>
    <row r="316" ht="15.75" customHeight="1" s="30"/>
    <row r="317" ht="15.75" customHeight="1" s="30"/>
    <row r="318" ht="15.75" customHeight="1" s="30"/>
    <row r="319" ht="15.75" customHeight="1" s="30"/>
    <row r="320" ht="15.75" customHeight="1" s="30"/>
    <row r="321" ht="15.75" customHeight="1" s="30"/>
    <row r="322" ht="15.75" customHeight="1" s="30"/>
    <row r="323" ht="15.75" customHeight="1" s="30"/>
    <row r="324" ht="15.75" customHeight="1" s="30"/>
    <row r="325" ht="15.75" customHeight="1" s="30"/>
    <row r="326" ht="15.75" customHeight="1" s="30"/>
    <row r="327" ht="15.75" customHeight="1" s="30"/>
    <row r="328" ht="15.75" customHeight="1" s="30"/>
    <row r="329" ht="15.75" customHeight="1" s="30"/>
    <row r="330" ht="15.75" customHeight="1" s="30"/>
    <row r="331" ht="15.75" customHeight="1" s="30"/>
    <row r="332" ht="15.75" customHeight="1" s="30"/>
    <row r="333" ht="15.75" customHeight="1" s="30"/>
    <row r="334" ht="15.75" customHeight="1" s="30"/>
    <row r="335" ht="15.75" customHeight="1" s="30"/>
    <row r="336" ht="15.75" customHeight="1" s="30"/>
    <row r="337" ht="15.75" customHeight="1" s="30"/>
    <row r="338" ht="15.75" customHeight="1" s="30"/>
    <row r="339" ht="15.75" customHeight="1" s="30"/>
    <row r="340" ht="15.75" customHeight="1" s="30"/>
    <row r="341" ht="15.75" customHeight="1" s="30"/>
    <row r="342" ht="15.75" customHeight="1" s="30"/>
    <row r="343" ht="15.75" customHeight="1" s="30"/>
    <row r="344" ht="15.75" customHeight="1" s="30"/>
    <row r="345" ht="15.75" customHeight="1" s="30"/>
    <row r="346" ht="15.75" customHeight="1" s="30"/>
    <row r="347" ht="15.75" customHeight="1" s="30"/>
    <row r="348" ht="15.75" customHeight="1" s="30"/>
    <row r="349" ht="15.75" customHeight="1" s="30"/>
    <row r="350" ht="15.75" customHeight="1" s="30"/>
    <row r="351" ht="15.75" customHeight="1" s="30"/>
    <row r="352" ht="15.75" customHeight="1" s="30"/>
    <row r="353" ht="15.75" customHeight="1" s="30"/>
    <row r="354" ht="15.75" customHeight="1" s="30"/>
    <row r="355" ht="15.75" customHeight="1" s="30"/>
    <row r="356" ht="15.75" customHeight="1" s="30"/>
    <row r="357" ht="15.75" customHeight="1" s="30"/>
    <row r="358" ht="15.75" customHeight="1" s="30"/>
    <row r="359" ht="15.75" customHeight="1" s="30"/>
    <row r="360" ht="15.75" customHeight="1" s="30"/>
    <row r="361" ht="15.75" customHeight="1" s="30"/>
    <row r="362" ht="15.75" customHeight="1" s="30"/>
    <row r="363" ht="15.75" customHeight="1" s="30"/>
    <row r="364" ht="15.75" customHeight="1" s="30"/>
    <row r="365" ht="15.75" customHeight="1" s="30"/>
    <row r="366" ht="15.75" customHeight="1" s="30"/>
    <row r="367" ht="15.75" customHeight="1" s="30"/>
    <row r="368" ht="15.75" customHeight="1" s="30"/>
    <row r="369" ht="15.75" customHeight="1" s="30"/>
    <row r="370" ht="15.75" customHeight="1" s="30"/>
    <row r="371" ht="15.75" customHeight="1" s="30"/>
    <row r="372" ht="15.75" customHeight="1" s="30"/>
    <row r="373" ht="15.75" customHeight="1" s="30"/>
    <row r="374" ht="15.75" customHeight="1" s="30"/>
    <row r="375" ht="15.75" customHeight="1" s="30"/>
    <row r="376" ht="15.75" customHeight="1" s="30"/>
    <row r="377" ht="15.75" customHeight="1" s="30"/>
    <row r="378" ht="15.75" customHeight="1" s="30"/>
    <row r="379" ht="15.75" customHeight="1" s="30"/>
    <row r="380" ht="15.75" customHeight="1" s="30"/>
    <row r="381" ht="15.75" customHeight="1" s="30"/>
    <row r="382" ht="15.75" customHeight="1" s="30"/>
    <row r="383" ht="15.75" customHeight="1" s="30"/>
    <row r="384" ht="15.75" customHeight="1" s="30"/>
    <row r="385" ht="15.75" customHeight="1" s="30"/>
    <row r="386" ht="15.75" customHeight="1" s="30"/>
    <row r="387" ht="15.75" customHeight="1" s="30"/>
    <row r="388" ht="15.75" customHeight="1" s="30"/>
    <row r="389" ht="15.75" customHeight="1" s="30"/>
    <row r="390" ht="15.75" customHeight="1" s="30"/>
    <row r="391" ht="15.75" customHeight="1" s="30"/>
    <row r="392" ht="15.75" customHeight="1" s="30"/>
    <row r="393" ht="15.75" customHeight="1" s="30"/>
    <row r="394" ht="15.75" customHeight="1" s="30"/>
    <row r="395" ht="15.75" customHeight="1" s="30"/>
    <row r="396" ht="15.75" customHeight="1" s="30"/>
    <row r="397" ht="15.75" customHeight="1" s="30"/>
    <row r="398" ht="15.75" customHeight="1" s="30"/>
    <row r="399" ht="15.75" customHeight="1" s="30"/>
    <row r="400" ht="15.75" customHeight="1" s="30"/>
    <row r="401" ht="15.75" customHeight="1" s="30"/>
    <row r="402" ht="15.75" customHeight="1" s="30"/>
    <row r="403" ht="15.75" customHeight="1" s="30"/>
    <row r="404" ht="15.75" customHeight="1" s="30"/>
    <row r="405" ht="15.75" customHeight="1" s="30"/>
    <row r="406" ht="15.75" customHeight="1" s="30"/>
    <row r="407" ht="15.75" customHeight="1" s="30"/>
    <row r="408" ht="15.75" customHeight="1" s="30"/>
    <row r="409" ht="15.75" customHeight="1" s="30"/>
    <row r="410" ht="15.75" customHeight="1" s="30"/>
    <row r="411" ht="15.75" customHeight="1" s="30"/>
    <row r="412" ht="15.75" customHeight="1" s="30"/>
    <row r="413" ht="15.75" customHeight="1" s="30"/>
    <row r="414" ht="15.75" customHeight="1" s="30"/>
    <row r="415" ht="15.75" customHeight="1" s="30"/>
    <row r="416" ht="15.75" customHeight="1" s="30"/>
    <row r="417" ht="15.75" customHeight="1" s="30"/>
    <row r="418" ht="15.75" customHeight="1" s="30"/>
    <row r="419" ht="15.75" customHeight="1" s="30"/>
    <row r="420" ht="15.75" customHeight="1" s="30"/>
    <row r="421" ht="15.75" customHeight="1" s="30"/>
    <row r="422" ht="15.75" customHeight="1" s="30"/>
    <row r="423" ht="15.75" customHeight="1" s="30"/>
    <row r="424" ht="15.75" customHeight="1" s="30"/>
    <row r="425" ht="15.75" customHeight="1" s="30"/>
    <row r="426" ht="15.75" customHeight="1" s="30"/>
    <row r="427" ht="15.75" customHeight="1" s="30"/>
    <row r="428" ht="15.75" customHeight="1" s="30"/>
    <row r="429" ht="15.75" customHeight="1" s="30"/>
    <row r="430" ht="15.75" customHeight="1" s="30"/>
    <row r="431" ht="15.75" customHeight="1" s="30"/>
    <row r="432" ht="15.75" customHeight="1" s="30"/>
    <row r="433" ht="15.75" customHeight="1" s="30"/>
    <row r="434" ht="15.75" customHeight="1" s="30"/>
    <row r="435" ht="15.75" customHeight="1" s="30"/>
    <row r="436" ht="15.75" customHeight="1" s="30"/>
    <row r="437" ht="15.75" customHeight="1" s="30"/>
    <row r="438" ht="15.75" customHeight="1" s="30"/>
    <row r="439" ht="15.75" customHeight="1" s="30"/>
    <row r="440" ht="15.75" customHeight="1" s="30"/>
    <row r="441" ht="15.75" customHeight="1" s="30"/>
    <row r="442" ht="15.75" customHeight="1" s="30"/>
    <row r="443" ht="15.75" customHeight="1" s="30"/>
    <row r="444" ht="15.75" customHeight="1" s="30"/>
    <row r="445" ht="15.75" customHeight="1" s="30"/>
    <row r="446" ht="15.75" customHeight="1" s="30"/>
    <row r="447" ht="15.75" customHeight="1" s="30"/>
    <row r="448" ht="15.75" customHeight="1" s="30"/>
    <row r="449" ht="15.75" customHeight="1" s="30"/>
    <row r="450" ht="15.75" customHeight="1" s="30"/>
    <row r="451" ht="15.75" customHeight="1" s="30"/>
    <row r="452" ht="15.75" customHeight="1" s="30"/>
    <row r="453" ht="15.75" customHeight="1" s="30"/>
    <row r="454" ht="15.75" customHeight="1" s="30"/>
    <row r="455" ht="15.75" customHeight="1" s="30"/>
    <row r="456" ht="15.75" customHeight="1" s="30"/>
    <row r="457" ht="15.75" customHeight="1" s="30"/>
    <row r="458" ht="15.75" customHeight="1" s="30"/>
    <row r="459" ht="15.75" customHeight="1" s="30"/>
    <row r="460" ht="15.75" customHeight="1" s="30"/>
    <row r="461" ht="15.75" customHeight="1" s="30"/>
    <row r="462" ht="15.75" customHeight="1" s="30"/>
    <row r="463" ht="15.75" customHeight="1" s="30"/>
    <row r="464" ht="15.75" customHeight="1" s="30"/>
    <row r="465" ht="15.75" customHeight="1" s="30"/>
    <row r="466" ht="15.75" customHeight="1" s="30"/>
    <row r="467" ht="15.75" customHeight="1" s="30"/>
    <row r="468" ht="15.75" customHeight="1" s="30"/>
    <row r="469" ht="15.75" customHeight="1" s="30"/>
    <row r="470" ht="15.75" customHeight="1" s="30"/>
    <row r="471" ht="15.75" customHeight="1" s="30"/>
    <row r="472" ht="15.75" customHeight="1" s="30"/>
    <row r="473" ht="15.75" customHeight="1" s="30"/>
    <row r="474" ht="15.75" customHeight="1" s="30"/>
    <row r="475" ht="15.75" customHeight="1" s="30"/>
    <row r="476" ht="15.75" customHeight="1" s="30"/>
    <row r="477" ht="15.75" customHeight="1" s="30"/>
    <row r="478" ht="15.75" customHeight="1" s="30"/>
    <row r="479" ht="15.75" customHeight="1" s="30"/>
    <row r="480" ht="15.75" customHeight="1" s="30"/>
    <row r="481" ht="15.75" customHeight="1" s="30"/>
    <row r="482" ht="15.75" customHeight="1" s="30"/>
    <row r="483" ht="15.75" customHeight="1" s="30"/>
    <row r="484" ht="15.75" customHeight="1" s="30"/>
    <row r="485" ht="15.75" customHeight="1" s="30"/>
    <row r="486" ht="15.75" customHeight="1" s="30"/>
    <row r="487" ht="15.75" customHeight="1" s="30"/>
    <row r="488" ht="15.75" customHeight="1" s="30"/>
    <row r="489" ht="15.75" customHeight="1" s="30"/>
    <row r="490" ht="15.75" customHeight="1" s="30"/>
    <row r="491" ht="15.75" customHeight="1" s="30"/>
    <row r="492" ht="15.75" customHeight="1" s="30"/>
    <row r="493" ht="15.75" customHeight="1" s="30"/>
    <row r="494" ht="15.75" customHeight="1" s="30"/>
    <row r="495" ht="15.75" customHeight="1" s="30"/>
    <row r="496" ht="15.75" customHeight="1" s="30"/>
    <row r="497" ht="15.75" customHeight="1" s="30"/>
    <row r="498" ht="15.75" customHeight="1" s="30"/>
    <row r="499" ht="15.75" customHeight="1" s="30"/>
    <row r="500" ht="15.75" customHeight="1" s="30"/>
    <row r="501" ht="15.75" customHeight="1" s="30"/>
    <row r="502" ht="15.75" customHeight="1" s="30"/>
    <row r="503" ht="15.75" customHeight="1" s="30"/>
    <row r="504" ht="15.75" customHeight="1" s="30"/>
    <row r="505" ht="15.75" customHeight="1" s="30"/>
    <row r="506" ht="15.75" customHeight="1" s="30"/>
    <row r="507" ht="15.75" customHeight="1" s="30"/>
    <row r="508" ht="15.75" customHeight="1" s="30"/>
    <row r="509" ht="15.75" customHeight="1" s="30"/>
    <row r="510" ht="15.75" customHeight="1" s="30"/>
    <row r="511" ht="15.75" customHeight="1" s="30"/>
    <row r="512" ht="15.75" customHeight="1" s="30"/>
    <row r="513" ht="15.75" customHeight="1" s="30"/>
    <row r="514" ht="15.75" customHeight="1" s="30"/>
    <row r="515" ht="15.75" customHeight="1" s="30"/>
    <row r="516" ht="15.75" customHeight="1" s="30"/>
    <row r="517" ht="15.75" customHeight="1" s="30"/>
    <row r="518" ht="15.75" customHeight="1" s="30"/>
    <row r="519" ht="15.75" customHeight="1" s="30"/>
    <row r="520" ht="15.75" customHeight="1" s="30"/>
    <row r="521" ht="15.75" customHeight="1" s="30"/>
    <row r="522" ht="15.75" customHeight="1" s="30"/>
    <row r="523" ht="15.75" customHeight="1" s="30"/>
    <row r="524" ht="15.75" customHeight="1" s="30"/>
    <row r="525" ht="15.75" customHeight="1" s="30"/>
    <row r="526" ht="15.75" customHeight="1" s="30"/>
    <row r="527" ht="15.75" customHeight="1" s="30"/>
    <row r="528" ht="15.75" customHeight="1" s="30"/>
    <row r="529" ht="15.75" customHeight="1" s="30"/>
    <row r="530" ht="15.75" customHeight="1" s="30"/>
    <row r="531" ht="15.75" customHeight="1" s="30"/>
    <row r="532" ht="15.75" customHeight="1" s="30"/>
    <row r="533" ht="15.75" customHeight="1" s="30"/>
    <row r="534" ht="15.75" customHeight="1" s="30"/>
    <row r="535" ht="15.75" customHeight="1" s="30"/>
    <row r="536" ht="15.75" customHeight="1" s="30"/>
    <row r="537" ht="15.75" customHeight="1" s="30"/>
    <row r="538" ht="15.75" customHeight="1" s="30"/>
    <row r="539" ht="15.75" customHeight="1" s="30"/>
    <row r="540" ht="15.75" customHeight="1" s="30"/>
    <row r="541" ht="15.75" customHeight="1" s="30"/>
    <row r="542" ht="15.75" customHeight="1" s="30"/>
    <row r="543" ht="15.75" customHeight="1" s="30"/>
    <row r="544" ht="15.75" customHeight="1" s="30"/>
    <row r="545" ht="15.75" customHeight="1" s="30"/>
    <row r="546" ht="15.75" customHeight="1" s="30"/>
    <row r="547" ht="15.75" customHeight="1" s="30"/>
    <row r="548" ht="15.75" customHeight="1" s="30"/>
    <row r="549" ht="15.75" customHeight="1" s="30"/>
    <row r="550" ht="15.75" customHeight="1" s="30"/>
    <row r="551" ht="15.75" customHeight="1" s="30"/>
    <row r="552" ht="15.75" customHeight="1" s="30"/>
    <row r="553" ht="15.75" customHeight="1" s="30"/>
    <row r="554" ht="15.75" customHeight="1" s="30"/>
    <row r="555" ht="15.75" customHeight="1" s="30"/>
    <row r="556" ht="15.75" customHeight="1" s="30"/>
    <row r="557" ht="15.75" customHeight="1" s="30"/>
    <row r="558" ht="15.75" customHeight="1" s="30"/>
    <row r="559" ht="15.75" customHeight="1" s="30"/>
    <row r="560" ht="15.75" customHeight="1" s="30"/>
    <row r="561" ht="15.75" customHeight="1" s="30"/>
    <row r="562" ht="15.75" customHeight="1" s="30"/>
    <row r="563" ht="15.75" customHeight="1" s="30"/>
    <row r="564" ht="15.75" customHeight="1" s="30"/>
    <row r="565" ht="15.75" customHeight="1" s="30"/>
    <row r="566" ht="15.75" customHeight="1" s="30"/>
    <row r="567" ht="15.75" customHeight="1" s="30"/>
    <row r="568" ht="15.75" customHeight="1" s="30"/>
    <row r="569" ht="15.75" customHeight="1" s="30"/>
    <row r="570" ht="15.75" customHeight="1" s="30"/>
    <row r="571" ht="15.75" customHeight="1" s="30"/>
    <row r="572" ht="15.75" customHeight="1" s="30"/>
    <row r="573" ht="15.75" customHeight="1" s="30"/>
    <row r="574" ht="15.75" customHeight="1" s="30"/>
    <row r="575" ht="15.75" customHeight="1" s="30"/>
    <row r="576" ht="15.75" customHeight="1" s="30"/>
    <row r="577" ht="15.75" customHeight="1" s="30"/>
    <row r="578" ht="15.75" customHeight="1" s="30"/>
    <row r="579" ht="15.75" customHeight="1" s="30"/>
    <row r="580" ht="15.75" customHeight="1" s="30"/>
    <row r="581" ht="15.75" customHeight="1" s="30"/>
    <row r="582" ht="15.75" customHeight="1" s="30"/>
    <row r="583" ht="15.75" customHeight="1" s="30"/>
    <row r="584" ht="15.75" customHeight="1" s="30"/>
    <row r="585" ht="15.75" customHeight="1" s="30"/>
    <row r="586" ht="15.75" customHeight="1" s="30"/>
    <row r="587" ht="15.75" customHeight="1" s="30"/>
    <row r="588" ht="15.75" customHeight="1" s="30"/>
    <row r="589" ht="15.75" customHeight="1" s="30"/>
    <row r="590" ht="15.75" customHeight="1" s="30"/>
    <row r="591" ht="15.75" customHeight="1" s="30"/>
    <row r="592" ht="15.75" customHeight="1" s="30"/>
    <row r="593" ht="15.75" customHeight="1" s="30"/>
    <row r="594" ht="15.75" customHeight="1" s="30"/>
    <row r="595" ht="15.75" customHeight="1" s="30"/>
    <row r="596" ht="15.75" customHeight="1" s="30"/>
    <row r="597" ht="15.75" customHeight="1" s="30"/>
    <row r="598" ht="15.75" customHeight="1" s="30"/>
    <row r="599" ht="15.75" customHeight="1" s="30"/>
    <row r="600" ht="15.75" customHeight="1" s="30"/>
    <row r="601" ht="15.75" customHeight="1" s="30"/>
    <row r="602" ht="15.75" customHeight="1" s="30"/>
    <row r="603" ht="15.75" customHeight="1" s="30"/>
    <row r="604" ht="15.75" customHeight="1" s="30"/>
    <row r="605" ht="15.75" customHeight="1" s="30"/>
    <row r="606" ht="15.75" customHeight="1" s="30"/>
    <row r="607" ht="15.75" customHeight="1" s="30"/>
    <row r="608" ht="15.75" customHeight="1" s="30"/>
    <row r="609" ht="15.75" customHeight="1" s="30"/>
    <row r="610" ht="15.75" customHeight="1" s="30"/>
    <row r="611" ht="15.75" customHeight="1" s="30"/>
    <row r="612" ht="15.75" customHeight="1" s="30"/>
    <row r="613" ht="15.75" customHeight="1" s="30"/>
    <row r="614" ht="15.75" customHeight="1" s="30"/>
    <row r="615" ht="15.75" customHeight="1" s="30"/>
    <row r="616" ht="15.75" customHeight="1" s="30"/>
    <row r="617" ht="15.75" customHeight="1" s="30"/>
    <row r="618" ht="15.75" customHeight="1" s="30"/>
    <row r="619" ht="15.75" customHeight="1" s="30"/>
    <row r="620" ht="15.75" customHeight="1" s="30"/>
    <row r="621" ht="15.75" customHeight="1" s="30"/>
    <row r="622" ht="15.75" customHeight="1" s="30"/>
    <row r="623" ht="15.75" customHeight="1" s="30"/>
    <row r="624" ht="15.75" customHeight="1" s="30"/>
    <row r="625" ht="15.75" customHeight="1" s="30"/>
    <row r="626" ht="15.75" customHeight="1" s="30"/>
    <row r="627" ht="15.75" customHeight="1" s="30"/>
    <row r="628" ht="15.75" customHeight="1" s="30"/>
    <row r="629" ht="15.75" customHeight="1" s="30"/>
    <row r="630" ht="15.75" customHeight="1" s="30"/>
    <row r="631" ht="15.75" customHeight="1" s="30"/>
    <row r="632" ht="15.75" customHeight="1" s="30"/>
    <row r="633" ht="15.75" customHeight="1" s="30"/>
    <row r="634" ht="15.75" customHeight="1" s="30"/>
    <row r="635" ht="15.75" customHeight="1" s="30"/>
    <row r="636" ht="15.75" customHeight="1" s="30"/>
    <row r="637" ht="15.75" customHeight="1" s="30"/>
    <row r="638" ht="15.75" customHeight="1" s="30"/>
    <row r="639" ht="15.75" customHeight="1" s="30"/>
    <row r="640" ht="15.75" customHeight="1" s="30"/>
    <row r="641" ht="15.75" customHeight="1" s="30"/>
    <row r="642" ht="15.75" customHeight="1" s="30"/>
    <row r="643" ht="15.75" customHeight="1" s="30"/>
    <row r="644" ht="15.75" customHeight="1" s="30"/>
    <row r="645" ht="15.75" customHeight="1" s="30"/>
    <row r="646" ht="15.75" customHeight="1" s="30"/>
    <row r="647" ht="15.75" customHeight="1" s="30"/>
    <row r="648" ht="15.75" customHeight="1" s="30"/>
    <row r="649" ht="15.75" customHeight="1" s="30"/>
    <row r="650" ht="15.75" customHeight="1" s="30"/>
    <row r="651" ht="15.75" customHeight="1" s="30"/>
    <row r="652" ht="15.75" customHeight="1" s="30"/>
    <row r="653" ht="15.75" customHeight="1" s="30"/>
    <row r="654" ht="15.75" customHeight="1" s="30"/>
    <row r="655" ht="15.75" customHeight="1" s="30"/>
    <row r="656" ht="15.75" customHeight="1" s="30"/>
    <row r="657" ht="15.75" customHeight="1" s="30"/>
    <row r="658" ht="15.75" customHeight="1" s="30"/>
    <row r="659" ht="15.75" customHeight="1" s="30"/>
    <row r="660" ht="15.75" customHeight="1" s="30"/>
    <row r="661" ht="15.75" customHeight="1" s="30"/>
    <row r="662" ht="15.75" customHeight="1" s="30"/>
    <row r="663" ht="15.75" customHeight="1" s="30"/>
    <row r="664" ht="15.75" customHeight="1" s="30"/>
    <row r="665" ht="15.75" customHeight="1" s="30"/>
    <row r="666" ht="15.75" customHeight="1" s="30"/>
    <row r="667" ht="15.75" customHeight="1" s="30"/>
    <row r="668" ht="15.75" customHeight="1" s="30"/>
    <row r="669" ht="15.75" customHeight="1" s="30"/>
    <row r="670" ht="15.75" customHeight="1" s="30"/>
    <row r="671" ht="15.75" customHeight="1" s="30"/>
    <row r="672" ht="15.75" customHeight="1" s="30"/>
    <row r="673" ht="15.75" customHeight="1" s="30"/>
    <row r="674" ht="15.75" customHeight="1" s="30"/>
    <row r="675" ht="15.75" customHeight="1" s="30"/>
    <row r="676" ht="15.75" customHeight="1" s="30"/>
    <row r="677" ht="15.75" customHeight="1" s="30"/>
    <row r="678" ht="15.75" customHeight="1" s="30"/>
    <row r="679" ht="15.75" customHeight="1" s="30"/>
    <row r="680" ht="15.75" customHeight="1" s="30"/>
    <row r="681" ht="15.75" customHeight="1" s="30"/>
    <row r="682" ht="15.75" customHeight="1" s="30"/>
    <row r="683" ht="15.75" customHeight="1" s="30"/>
    <row r="684" ht="15.75" customHeight="1" s="30"/>
    <row r="685" ht="15.75" customHeight="1" s="30"/>
    <row r="686" ht="15.75" customHeight="1" s="30"/>
    <row r="687" ht="15.75" customHeight="1" s="30"/>
    <row r="688" ht="15.75" customHeight="1" s="30"/>
    <row r="689" ht="15.75" customHeight="1" s="30"/>
    <row r="690" ht="15.75" customHeight="1" s="30"/>
    <row r="691" ht="15.75" customHeight="1" s="30"/>
    <row r="692" ht="15.75" customHeight="1" s="30"/>
    <row r="693" ht="15.75" customHeight="1" s="30"/>
    <row r="694" ht="15.75" customHeight="1" s="30"/>
    <row r="695" ht="15.75" customHeight="1" s="30"/>
    <row r="696" ht="15.75" customHeight="1" s="30"/>
    <row r="697" ht="15.75" customHeight="1" s="30"/>
    <row r="698" ht="15.75" customHeight="1" s="30"/>
    <row r="699" ht="15.75" customHeight="1" s="30"/>
    <row r="700" ht="15.75" customHeight="1" s="30"/>
    <row r="701" ht="15.75" customHeight="1" s="30"/>
    <row r="702" ht="15.75" customHeight="1" s="30"/>
    <row r="703" ht="15.75" customHeight="1" s="30"/>
    <row r="704" ht="15.75" customHeight="1" s="30"/>
    <row r="705" ht="15.75" customHeight="1" s="30"/>
    <row r="706" ht="15.75" customHeight="1" s="30"/>
    <row r="707" ht="15.75" customHeight="1" s="30"/>
    <row r="708" ht="15.75" customHeight="1" s="30"/>
    <row r="709" ht="15.75" customHeight="1" s="30"/>
    <row r="710" ht="15.75" customHeight="1" s="30"/>
    <row r="711" ht="15.75" customHeight="1" s="30"/>
    <row r="712" ht="15.75" customHeight="1" s="30"/>
    <row r="713" ht="15.75" customHeight="1" s="30"/>
    <row r="714" ht="15.75" customHeight="1" s="30"/>
    <row r="715" ht="15.75" customHeight="1" s="30"/>
    <row r="716" ht="15.75" customHeight="1" s="30"/>
    <row r="717" ht="15.75" customHeight="1" s="30"/>
    <row r="718" ht="15.75" customHeight="1" s="30"/>
    <row r="719" ht="15.75" customHeight="1" s="30"/>
    <row r="720" ht="15.75" customHeight="1" s="30"/>
    <row r="721" ht="15.75" customHeight="1" s="30"/>
    <row r="722" ht="15.75" customHeight="1" s="30"/>
    <row r="723" ht="15.75" customHeight="1" s="30"/>
    <row r="724" ht="15.75" customHeight="1" s="30"/>
    <row r="725" ht="15.75" customHeight="1" s="30"/>
    <row r="726" ht="15.75" customHeight="1" s="30"/>
    <row r="727" ht="15.75" customHeight="1" s="30"/>
    <row r="728" ht="15.75" customHeight="1" s="30"/>
    <row r="729" ht="15.75" customHeight="1" s="30"/>
    <row r="730" ht="15.75" customHeight="1" s="30"/>
    <row r="731" ht="15.75" customHeight="1" s="30"/>
    <row r="732" ht="15.75" customHeight="1" s="30"/>
    <row r="733" ht="15.75" customHeight="1" s="30"/>
    <row r="734" ht="15.75" customHeight="1" s="30"/>
    <row r="735" ht="15.75" customHeight="1" s="30"/>
    <row r="736" ht="15.75" customHeight="1" s="30"/>
    <row r="737" ht="15.75" customHeight="1" s="30"/>
    <row r="738" ht="15.75" customHeight="1" s="30"/>
    <row r="739" ht="15.75" customHeight="1" s="30"/>
    <row r="740" ht="15.75" customHeight="1" s="30"/>
    <row r="741" ht="15.75" customHeight="1" s="30"/>
    <row r="742" ht="15.75" customHeight="1" s="30"/>
    <row r="743" ht="15.75" customHeight="1" s="30"/>
    <row r="744" ht="15.75" customHeight="1" s="30"/>
    <row r="745" ht="15.75" customHeight="1" s="30"/>
    <row r="746" ht="15.75" customHeight="1" s="30"/>
    <row r="747" ht="15.75" customHeight="1" s="30"/>
    <row r="748" ht="15.75" customHeight="1" s="30"/>
    <row r="749" ht="15.75" customHeight="1" s="30"/>
    <row r="750" ht="15.75" customHeight="1" s="30"/>
    <row r="751" ht="15.75" customHeight="1" s="30"/>
    <row r="752" ht="15.75" customHeight="1" s="30"/>
    <row r="753" ht="15.75" customHeight="1" s="30"/>
    <row r="754" ht="15.75" customHeight="1" s="30"/>
    <row r="755" ht="15.75" customHeight="1" s="30"/>
    <row r="756" ht="15.75" customHeight="1" s="30"/>
    <row r="757" ht="15.75" customHeight="1" s="30"/>
    <row r="758" ht="15.75" customHeight="1" s="30"/>
    <row r="759" ht="15.75" customHeight="1" s="30"/>
    <row r="760" ht="15.75" customHeight="1" s="30"/>
    <row r="761" ht="15.75" customHeight="1" s="30"/>
    <row r="762" ht="15.75" customHeight="1" s="30"/>
    <row r="763" ht="15.75" customHeight="1" s="30"/>
    <row r="764" ht="15.75" customHeight="1" s="30"/>
    <row r="765" ht="15.75" customHeight="1" s="30"/>
    <row r="766" ht="15.75" customHeight="1" s="30"/>
    <row r="767" ht="15.75" customHeight="1" s="30"/>
    <row r="768" ht="15.75" customHeight="1" s="30"/>
    <row r="769" ht="15.75" customHeight="1" s="30"/>
    <row r="770" ht="15.75" customHeight="1" s="30"/>
    <row r="771" ht="15.75" customHeight="1" s="30"/>
    <row r="772" ht="15.75" customHeight="1" s="30"/>
    <row r="773" ht="15.75" customHeight="1" s="30"/>
    <row r="774" ht="15.75" customHeight="1" s="30"/>
    <row r="775" ht="15.75" customHeight="1" s="30"/>
    <row r="776" ht="15.75" customHeight="1" s="30"/>
    <row r="777" ht="15.75" customHeight="1" s="30"/>
    <row r="778" ht="15.75" customHeight="1" s="30"/>
    <row r="779" ht="15.75" customHeight="1" s="30"/>
    <row r="780" ht="15.75" customHeight="1" s="30"/>
    <row r="781" ht="15.75" customHeight="1" s="30"/>
    <row r="782" ht="15.75" customHeight="1" s="30"/>
    <row r="783" ht="15.75" customHeight="1" s="30"/>
    <row r="784" ht="15.75" customHeight="1" s="30"/>
    <row r="785" ht="15.75" customHeight="1" s="30"/>
    <row r="786" ht="15.75" customHeight="1" s="30"/>
    <row r="787" ht="15.75" customHeight="1" s="30"/>
    <row r="788" ht="15.75" customHeight="1" s="30"/>
    <row r="789" ht="15.75" customHeight="1" s="30"/>
    <row r="790" ht="15.75" customHeight="1" s="30"/>
    <row r="791" ht="15.75" customHeight="1" s="30"/>
    <row r="792" ht="15.75" customHeight="1" s="30"/>
    <row r="793" ht="15.75" customHeight="1" s="30"/>
    <row r="794" ht="15.75" customHeight="1" s="30"/>
    <row r="795" ht="15.75" customHeight="1" s="30"/>
    <row r="796" ht="15.75" customHeight="1" s="30"/>
    <row r="797" ht="15.75" customHeight="1" s="30"/>
    <row r="798" ht="15.75" customHeight="1" s="30"/>
    <row r="799" ht="15.75" customHeight="1" s="30"/>
    <row r="800" ht="15.75" customHeight="1" s="30"/>
    <row r="801" ht="15.75" customHeight="1" s="30"/>
    <row r="802" ht="15.75" customHeight="1" s="30"/>
    <row r="803" ht="15.75" customHeight="1" s="30"/>
    <row r="804" ht="15.75" customHeight="1" s="30"/>
    <row r="805" ht="15.75" customHeight="1" s="30"/>
    <row r="806" ht="15.75" customHeight="1" s="30"/>
    <row r="807" ht="15.75" customHeight="1" s="30"/>
    <row r="808" ht="15.75" customHeight="1" s="30"/>
    <row r="809" ht="15.75" customHeight="1" s="30"/>
    <row r="810" ht="15.75" customHeight="1" s="30"/>
    <row r="811" ht="15.75" customHeight="1" s="30"/>
    <row r="812" ht="15.75" customHeight="1" s="30"/>
    <row r="813" ht="15.75" customHeight="1" s="30"/>
    <row r="814" ht="15.75" customHeight="1" s="30"/>
    <row r="815" ht="15.75" customHeight="1" s="30"/>
    <row r="816" ht="15.75" customHeight="1" s="30"/>
    <row r="817" ht="15.75" customHeight="1" s="30"/>
    <row r="818" ht="15.75" customHeight="1" s="30"/>
    <row r="819" ht="15.75" customHeight="1" s="30"/>
    <row r="820" ht="15.75" customHeight="1" s="30"/>
    <row r="821" ht="15.75" customHeight="1" s="30"/>
    <row r="822" ht="15.75" customHeight="1" s="30"/>
    <row r="823" ht="15.75" customHeight="1" s="30"/>
    <row r="824" ht="15.75" customHeight="1" s="30"/>
    <row r="825" ht="15.75" customHeight="1" s="30"/>
    <row r="826" ht="15.75" customHeight="1" s="30"/>
    <row r="827" ht="15.75" customHeight="1" s="30"/>
    <row r="828" ht="15.75" customHeight="1" s="30"/>
    <row r="829" ht="15.75" customHeight="1" s="30"/>
    <row r="830" ht="15.75" customHeight="1" s="30"/>
    <row r="831" ht="15.75" customHeight="1" s="30"/>
    <row r="832" ht="15.75" customHeight="1" s="30"/>
    <row r="833" ht="15.75" customHeight="1" s="30"/>
    <row r="834" ht="15.75" customHeight="1" s="30"/>
    <row r="835" ht="15.75" customHeight="1" s="30"/>
    <row r="836" ht="15.75" customHeight="1" s="30"/>
    <row r="837" ht="15.75" customHeight="1" s="30"/>
    <row r="838" ht="15.75" customHeight="1" s="30"/>
    <row r="839" ht="15.75" customHeight="1" s="30"/>
    <row r="840" ht="15.75" customHeight="1" s="30"/>
    <row r="841" ht="15.75" customHeight="1" s="30"/>
    <row r="842" ht="15.75" customHeight="1" s="30"/>
    <row r="843" ht="15.75" customHeight="1" s="30"/>
    <row r="844" ht="15.75" customHeight="1" s="30"/>
    <row r="845" ht="15.75" customHeight="1" s="30"/>
    <row r="846" ht="15.75" customHeight="1" s="30"/>
    <row r="847" ht="15.75" customHeight="1" s="30"/>
    <row r="848" ht="15.75" customHeight="1" s="30"/>
    <row r="849" ht="15.75" customHeight="1" s="30"/>
    <row r="850" ht="15.75" customHeight="1" s="30"/>
    <row r="851" ht="15.75" customHeight="1" s="30"/>
    <row r="852" ht="15.75" customHeight="1" s="30"/>
    <row r="853" ht="15.75" customHeight="1" s="30"/>
    <row r="854" ht="15.75" customHeight="1" s="30"/>
    <row r="855" ht="15.75" customHeight="1" s="30"/>
    <row r="856" ht="15.75" customHeight="1" s="30"/>
    <row r="857" ht="15.75" customHeight="1" s="30"/>
    <row r="858" ht="15.75" customHeight="1" s="30"/>
    <row r="859" ht="15.75" customHeight="1" s="30"/>
    <row r="860" ht="15.75" customHeight="1" s="30"/>
    <row r="861" ht="15.75" customHeight="1" s="30"/>
    <row r="862" ht="15.75" customHeight="1" s="30"/>
    <row r="863" ht="15.75" customHeight="1" s="30"/>
    <row r="864" ht="15.75" customHeight="1" s="30"/>
    <row r="865" ht="15.75" customHeight="1" s="30"/>
    <row r="866" ht="15.75" customHeight="1" s="30"/>
    <row r="867" ht="15.75" customHeight="1" s="30"/>
    <row r="868" ht="15.75" customHeight="1" s="30"/>
    <row r="869" ht="15.75" customHeight="1" s="30"/>
    <row r="870" ht="15.75" customHeight="1" s="30"/>
    <row r="871" ht="15.75" customHeight="1" s="30"/>
    <row r="872" ht="15.75" customHeight="1" s="30"/>
    <row r="873" ht="15.75" customHeight="1" s="30"/>
    <row r="874" ht="15.75" customHeight="1" s="30"/>
    <row r="875" ht="15.75" customHeight="1" s="30"/>
    <row r="876" ht="15.75" customHeight="1" s="30"/>
    <row r="877" ht="15.75" customHeight="1" s="30"/>
    <row r="878" ht="15.75" customHeight="1" s="30"/>
    <row r="879" ht="15.75" customHeight="1" s="30"/>
    <row r="880" ht="15.75" customHeight="1" s="30"/>
    <row r="881" ht="15.75" customHeight="1" s="30"/>
    <row r="882" ht="15.75" customHeight="1" s="30"/>
    <row r="883" ht="15.75" customHeight="1" s="30"/>
    <row r="884" ht="15.75" customHeight="1" s="30"/>
    <row r="885" ht="15.75" customHeight="1" s="30"/>
    <row r="886" ht="15.75" customHeight="1" s="30"/>
    <row r="887" ht="15.75" customHeight="1" s="30"/>
    <row r="888" ht="15.75" customHeight="1" s="30"/>
    <row r="889" ht="15.75" customHeight="1" s="30"/>
    <row r="890" ht="15.75" customHeight="1" s="30"/>
    <row r="891" ht="15.75" customHeight="1" s="30"/>
    <row r="892" ht="15.75" customHeight="1" s="30"/>
    <row r="893" ht="15.75" customHeight="1" s="30"/>
    <row r="894" ht="15.75" customHeight="1" s="30"/>
    <row r="895" ht="15.75" customHeight="1" s="30"/>
    <row r="896" ht="15.75" customHeight="1" s="30"/>
    <row r="897" ht="15.75" customHeight="1" s="30"/>
    <row r="898" ht="15.75" customHeight="1" s="30"/>
    <row r="899" ht="15.75" customHeight="1" s="30"/>
    <row r="900" ht="15.75" customHeight="1" s="30"/>
    <row r="901" ht="15.75" customHeight="1" s="30"/>
    <row r="902" ht="15.75" customHeight="1" s="30"/>
    <row r="903" ht="15.75" customHeight="1" s="30"/>
    <row r="904" ht="15.75" customHeight="1" s="30"/>
    <row r="905" ht="15.75" customHeight="1" s="30"/>
    <row r="906" ht="15.75" customHeight="1" s="30"/>
    <row r="907" ht="15.75" customHeight="1" s="30"/>
    <row r="908" ht="15.75" customHeight="1" s="30"/>
    <row r="909" ht="15.75" customHeight="1" s="30"/>
    <row r="910" ht="15.75" customHeight="1" s="30"/>
    <row r="911" ht="15.75" customHeight="1" s="30"/>
    <row r="912" ht="15.75" customHeight="1" s="30"/>
    <row r="913" ht="15.75" customHeight="1" s="30"/>
    <row r="914" ht="15.75" customHeight="1" s="30"/>
    <row r="915" ht="15.75" customHeight="1" s="30"/>
    <row r="916" ht="15.75" customHeight="1" s="30"/>
    <row r="917" ht="15.75" customHeight="1" s="30"/>
    <row r="918" ht="15.75" customHeight="1" s="30"/>
    <row r="919" ht="15.75" customHeight="1" s="30"/>
    <row r="920" ht="15.75" customHeight="1" s="30"/>
    <row r="921" ht="15.75" customHeight="1" s="30"/>
    <row r="922" ht="15.75" customHeight="1" s="30"/>
    <row r="923" ht="15.75" customHeight="1" s="30"/>
    <row r="924" ht="15.75" customHeight="1" s="30"/>
    <row r="925" ht="15.75" customHeight="1" s="30"/>
    <row r="926" ht="15.75" customHeight="1" s="30"/>
    <row r="927" ht="15.75" customHeight="1" s="30"/>
    <row r="928" ht="15.75" customHeight="1" s="30"/>
    <row r="929" ht="15.75" customHeight="1" s="30"/>
    <row r="930" ht="15.75" customHeight="1" s="30"/>
    <row r="931" ht="15.75" customHeight="1" s="30"/>
    <row r="932" ht="15.75" customHeight="1" s="30"/>
    <row r="933" ht="15.75" customHeight="1" s="30"/>
    <row r="934" ht="15.75" customHeight="1" s="30"/>
    <row r="935" ht="15.75" customHeight="1" s="30"/>
    <row r="936" ht="15.75" customHeight="1" s="30"/>
    <row r="937" ht="15.75" customHeight="1" s="30"/>
    <row r="938" ht="15.75" customHeight="1" s="30"/>
    <row r="939" ht="15.75" customHeight="1" s="30"/>
    <row r="940" ht="15.75" customHeight="1" s="30"/>
    <row r="941" ht="15.75" customHeight="1" s="30"/>
    <row r="942" ht="15.75" customHeight="1" s="30"/>
    <row r="943" ht="15.75" customHeight="1" s="30"/>
    <row r="944" ht="15.75" customHeight="1" s="30"/>
    <row r="945" ht="15.75" customHeight="1" s="30"/>
    <row r="946" ht="15.75" customHeight="1" s="30"/>
    <row r="947" ht="15.75" customHeight="1" s="30"/>
    <row r="948" ht="15.75" customHeight="1" s="30"/>
    <row r="949" ht="15.75" customHeight="1" s="30"/>
    <row r="950" ht="15.75" customHeight="1" s="30"/>
    <row r="951" ht="15.75" customHeight="1" s="30"/>
    <row r="952" ht="15.75" customHeight="1" s="30"/>
    <row r="953" ht="15.75" customHeight="1" s="30"/>
    <row r="954" ht="15.75" customHeight="1" s="30"/>
    <row r="955" ht="15.75" customHeight="1" s="30"/>
    <row r="956" ht="15.75" customHeight="1" s="30"/>
    <row r="957" ht="15.75" customHeight="1" s="30"/>
    <row r="958" ht="15.75" customHeight="1" s="30"/>
    <row r="959" ht="15.75" customHeight="1" s="30"/>
    <row r="960" ht="15.75" customHeight="1" s="30"/>
    <row r="961" ht="15.75" customHeight="1" s="30"/>
    <row r="962" ht="15.75" customHeight="1" s="30"/>
    <row r="963" ht="15.75" customHeight="1" s="30"/>
    <row r="964" ht="15.75" customHeight="1" s="30"/>
    <row r="965" ht="15.75" customHeight="1" s="30"/>
    <row r="966" ht="15.75" customHeight="1" s="30"/>
    <row r="967" ht="15.75" customHeight="1" s="30"/>
    <row r="968" ht="15.75" customHeight="1" s="30"/>
    <row r="969" ht="15.75" customHeight="1" s="30"/>
    <row r="970" ht="15.75" customHeight="1" s="30"/>
    <row r="971" ht="15.75" customHeight="1" s="30"/>
    <row r="972" ht="15.75" customHeight="1" s="30"/>
    <row r="973" ht="15.75" customHeight="1" s="30"/>
    <row r="974" ht="15.75" customHeight="1" s="30"/>
    <row r="975" ht="15.75" customHeight="1" s="30"/>
    <row r="976" ht="15.75" customHeight="1" s="30"/>
    <row r="977" ht="15.75" customHeight="1" s="30"/>
    <row r="978" ht="15.75" customHeight="1" s="30"/>
    <row r="979" ht="15.75" customHeight="1" s="30"/>
    <row r="980" ht="15.75" customHeight="1" s="30"/>
    <row r="981" ht="15.75" customHeight="1" s="30"/>
    <row r="982" ht="15.75" customHeight="1" s="30"/>
    <row r="983" ht="15.75" customHeight="1" s="30"/>
    <row r="984" ht="15.75" customHeight="1" s="30"/>
    <row r="985" ht="15.75" customHeight="1" s="30"/>
    <row r="986" ht="15.75" customHeight="1" s="30"/>
    <row r="987" ht="15.75" customHeight="1" s="30"/>
    <row r="988" ht="15.75" customHeight="1" s="30"/>
    <row r="989" ht="15.75" customHeight="1" s="30"/>
    <row r="990" ht="15.75" customHeight="1" s="30"/>
    <row r="991" ht="15.75" customHeight="1" s="30"/>
    <row r="992" ht="15.75" customHeight="1" s="30"/>
    <row r="993" ht="15.75" customHeight="1" s="30"/>
    <row r="994" ht="15.75" customHeight="1" s="30"/>
    <row r="995" ht="15.75" customHeight="1" s="30"/>
    <row r="996" ht="15.75" customHeight="1" s="30"/>
    <row r="997" ht="15.75" customHeight="1" s="30"/>
    <row r="998" ht="15.75" customHeight="1" s="30"/>
    <row r="999" ht="15.75" customHeight="1" s="30"/>
    <row r="1000" ht="15.75" customHeight="1" s="30"/>
  </sheetData>
  <mergeCells count="45">
    <mergeCell ref="D20:E20"/>
    <mergeCell ref="H20:I20"/>
    <mergeCell ref="D19:E19"/>
    <mergeCell ref="B40:K40"/>
    <mergeCell ref="F19:G19"/>
    <mergeCell ref="J19:K19"/>
    <mergeCell ref="H9:I9"/>
    <mergeCell ref="J21:K27"/>
    <mergeCell ref="J9:K9"/>
    <mergeCell ref="B21:C27"/>
    <mergeCell ref="D10:E18"/>
    <mergeCell ref="F20:G20"/>
    <mergeCell ref="D21:E27"/>
    <mergeCell ref="F10:G18"/>
    <mergeCell ref="H10:I18"/>
    <mergeCell ref="J10:K18"/>
    <mergeCell ref="B8:C8"/>
    <mergeCell ref="F8:G8"/>
    <mergeCell ref="B29:F29"/>
    <mergeCell ref="J20:K20"/>
    <mergeCell ref="G30:K30"/>
    <mergeCell ref="H21:I27"/>
    <mergeCell ref="B19:C19"/>
    <mergeCell ref="H19:I19"/>
    <mergeCell ref="G5:K5"/>
    <mergeCell ref="B39:K39"/>
    <mergeCell ref="B2:K2"/>
    <mergeCell ref="B9:C9"/>
    <mergeCell ref="G31:K36"/>
    <mergeCell ref="D9:E9"/>
    <mergeCell ref="F21:G27"/>
    <mergeCell ref="F9:G9"/>
    <mergeCell ref="G4:K4"/>
    <mergeCell ref="D8:E8"/>
    <mergeCell ref="B30:F30"/>
    <mergeCell ref="B31:F36"/>
    <mergeCell ref="G29:K29"/>
    <mergeCell ref="B1:K1"/>
    <mergeCell ref="C5:E5"/>
    <mergeCell ref="B20:C20"/>
    <mergeCell ref="B10:C18"/>
    <mergeCell ref="C4:E4"/>
    <mergeCell ref="B38:K38"/>
    <mergeCell ref="H8:I8"/>
    <mergeCell ref="J8:K8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1:E22"/>
  <sheetViews>
    <sheetView showGridLines="0" workbookViewId="0">
      <selection activeCell="A1" sqref="A1"/>
    </sheetView>
  </sheetViews>
  <sheetFormatPr baseColWidth="8" defaultColWidth="14.43" defaultRowHeight="15" customHeight="1"/>
  <cols>
    <col width="2.43" customWidth="1" style="30" min="1" max="1"/>
    <col width="30" customWidth="1" style="30" min="2" max="2"/>
    <col width="16" customWidth="1" style="30" min="3" max="3"/>
    <col width="12" customWidth="1" style="30" min="4" max="4"/>
    <col width="58" customWidth="1" style="30" min="5" max="5"/>
    <col width="8.859999999999999" customWidth="1" style="30" min="6" max="26"/>
  </cols>
  <sheetData>
    <row r="1" ht="25.5" customHeight="1" s="30">
      <c r="B1" s="1" t="inlineStr">
        <is>
          <t>Completeness Check</t>
        </is>
      </c>
    </row>
    <row r="2">
      <c r="B2" s="3" t="inlineStr">
        <is>
          <t>This tab updates itself. Before you submit, confirm every row below reads "Complete". Nothing here needs to be filled in by hand.</t>
        </is>
      </c>
    </row>
    <row r="4" ht="18" customHeight="1" s="30">
      <c r="B4" s="4" t="inlineStr">
        <is>
          <t>Section</t>
        </is>
      </c>
      <c r="C4" s="4" t="inlineStr">
        <is>
          <t>Status</t>
        </is>
      </c>
      <c r="D4" s="4" t="inlineStr">
        <is>
          <t>Words</t>
        </is>
      </c>
      <c r="E4" s="4" t="inlineStr">
        <is>
          <t>What this section should answer</t>
        </is>
      </c>
    </row>
    <row r="5" ht="15.75" customHeight="1" s="30">
      <c r="B5" s="6" t="inlineStr">
        <is>
          <t>Student Name</t>
        </is>
      </c>
      <c r="C5" s="11">
        <f>IF(LEN(TRIM(StudentName))=0,"MISSING","Complete")</f>
        <v/>
      </c>
      <c r="D5" s="11">
        <f>IF(LEN(TRIM(StudentName))=0,0,LEN(TRIM(StudentName))-LEN(SUBSTITUTE(TRIM(StudentName)," ",""))+1)</f>
        <v/>
      </c>
      <c r="E5" s="15" t="inlineStr">
        <is>
          <t>Your full name.</t>
        </is>
      </c>
    </row>
    <row r="6" ht="15.75" customHeight="1" s="30">
      <c r="B6" s="6" t="inlineStr">
        <is>
          <t>USC Email</t>
        </is>
      </c>
      <c r="C6" s="11">
        <f>IF(LEN(TRIM(StudentEmail))=0,"MISSING","Complete")</f>
        <v/>
      </c>
      <c r="D6" s="11">
        <f>IF(LEN(TRIM(StudentEmail))=0,0,LEN(TRIM(StudentEmail))-LEN(SUBSTITUTE(TRIM(StudentEmail)," ",""))+1)</f>
        <v/>
      </c>
      <c r="E6" s="15" t="inlineStr">
        <is>
          <t>Your USC email address.</t>
        </is>
      </c>
    </row>
    <row r="7" ht="15.75" customHeight="1" s="30">
      <c r="B7" s="6" t="inlineStr">
        <is>
          <t>Product / Venture</t>
        </is>
      </c>
      <c r="C7" s="11">
        <f>IF(LEN(TRIM(ProductName))=0,"MISSING","Complete")</f>
        <v/>
      </c>
      <c r="D7" s="11">
        <f>IF(LEN(TRIM(ProductName))=0,0,LEN(TRIM(ProductName))-LEN(SUBSTITUTE(TRIM(ProductName)," ",""))+1)</f>
        <v/>
      </c>
      <c r="E7" s="15" t="inlineStr">
        <is>
          <t>The name of the product this canvas describes.</t>
        </is>
      </c>
    </row>
    <row r="8" ht="15.75" customHeight="1" s="30">
      <c r="B8" s="6" t="inlineStr">
        <is>
          <t>Date</t>
        </is>
      </c>
      <c r="C8" s="11">
        <f>IF(LEN(TRIM(SubmissionDate))=0,"MISSING","Complete")</f>
        <v/>
      </c>
      <c r="D8" s="11">
        <f>IF(LEN(TRIM(SubmissionDate))=0,0,LEN(TRIM(SubmissionDate))-LEN(SUBSTITUTE(TRIM(SubmissionDate)," ",""))+1)</f>
        <v/>
      </c>
      <c r="E8" s="15" t="inlineStr">
        <is>
          <t>Date submitted.</t>
        </is>
      </c>
    </row>
    <row r="9" ht="15.75" customHeight="1" s="30">
      <c r="B9" s="6" t="inlineStr">
        <is>
          <t>Problem</t>
        </is>
      </c>
      <c r="C9" s="11">
        <f>IF(LEN(TRIM(Problem))=0,"MISSING","Complete")</f>
        <v/>
      </c>
      <c r="D9" s="11">
        <f>IF(LEN(TRIM(Problem))=0,0,LEN(TRIM(Problem))-LEN(SUBSTITUTE(TRIM(Problem)," ",""))+1)</f>
        <v/>
      </c>
      <c r="E9" s="15" t="inlineStr">
        <is>
          <t>Top 1–3 problems your customer has.</t>
        </is>
      </c>
    </row>
    <row r="10" ht="15.75" customHeight="1" s="30">
      <c r="B10" s="6" t="inlineStr">
        <is>
          <t>Solution</t>
        </is>
      </c>
      <c r="C10" s="11">
        <f>IF(LEN(TRIM(Solution))=0,"MISSING","Complete")</f>
        <v/>
      </c>
      <c r="D10" s="11">
        <f>IF(LEN(TRIM(Solution))=0,0,LEN(TRIM(Solution))-LEN(SUBSTITUTE(TRIM(Solution)," ",""))+1)</f>
        <v/>
      </c>
      <c r="E10" s="15" t="inlineStr">
        <is>
          <t>Outline a possible solution for each problem.</t>
        </is>
      </c>
    </row>
    <row r="11" ht="15.75" customHeight="1" s="30">
      <c r="B11" s="6" t="inlineStr">
        <is>
          <t>Unique Value Proposition</t>
        </is>
      </c>
      <c r="C11" s="11">
        <f>IF(LEN(TRIM(UniqueValueProp))=0,"MISSING","Complete")</f>
        <v/>
      </c>
      <c r="D11" s="11">
        <f>IF(LEN(TRIM(UniqueValueProp))=0,0,LEN(TRIM(UniqueValueProp))-LEN(SUBSTITUTE(TRIM(UniqueValueProp)," ",""))+1)</f>
        <v/>
      </c>
      <c r="E11" s="15" t="inlineStr">
        <is>
          <t>Single, clear, compelling message that states why you are different and worth buying.</t>
        </is>
      </c>
    </row>
    <row r="12" ht="15.75" customHeight="1" s="30">
      <c r="B12" s="6" t="inlineStr">
        <is>
          <t>Unfair Advantage</t>
        </is>
      </c>
      <c r="C12" s="11">
        <f>IF(LEN(TRIM(UnfairAdvantage))=0,"MISSING","Complete")</f>
        <v/>
      </c>
      <c r="D12" s="11">
        <f>IF(LEN(TRIM(UnfairAdvantage))=0,0,LEN(TRIM(UnfairAdvantage))-LEN(SUBSTITUTE(TRIM(UnfairAdvantage)," ",""))+1)</f>
        <v/>
      </c>
      <c r="E12" s="15" t="inlineStr">
        <is>
          <t>Something that cannot be easily copied or bought.</t>
        </is>
      </c>
    </row>
    <row r="13" ht="15.75" customHeight="1" s="30">
      <c r="B13" s="6" t="inlineStr">
        <is>
          <t>Customer Segments</t>
        </is>
      </c>
      <c r="C13" s="11">
        <f>IF(LEN(TRIM(CustomerSegments))=0,"MISSING","Complete")</f>
        <v/>
      </c>
      <c r="D13" s="11">
        <f>IF(LEN(TRIM(CustomerSegments))=0,0,LEN(TRIM(CustomerSegments))-LEN(SUBSTITUTE(TRIM(CustomerSegments)," ",""))+1)</f>
        <v/>
      </c>
      <c r="E13" s="15" t="inlineStr">
        <is>
          <t>Who are your target customers?</t>
        </is>
      </c>
    </row>
    <row r="14" ht="15.75" customHeight="1" s="30">
      <c r="B14" s="6" t="inlineStr">
        <is>
          <t>Existing Alternatives</t>
        </is>
      </c>
      <c r="C14" s="11">
        <f>IF(LEN(TRIM(ExistingAlternatives))=0,"MISSING","Complete")</f>
        <v/>
      </c>
      <c r="D14" s="11">
        <f>IF(LEN(TRIM(ExistingAlternatives))=0,0,LEN(TRIM(ExistingAlternatives))-LEN(SUBSTITUTE(TRIM(ExistingAlternatives)," ",""))+1)</f>
        <v/>
      </c>
      <c r="E14" s="15" t="inlineStr">
        <is>
          <t>How are these problems solved today?</t>
        </is>
      </c>
    </row>
    <row r="15" ht="15.75" customHeight="1" s="30">
      <c r="B15" s="6" t="inlineStr">
        <is>
          <t>Key Metrics</t>
        </is>
      </c>
      <c r="C15" s="11">
        <f>IF(LEN(TRIM(KeyMetrics))=0,"MISSING","Complete")</f>
        <v/>
      </c>
      <c r="D15" s="11">
        <f>IF(LEN(TRIM(KeyMetrics))=0,0,LEN(TRIM(KeyMetrics))-LEN(SUBSTITUTE(TRIM(KeyMetrics)," ",""))+1)</f>
        <v/>
      </c>
      <c r="E15" s="15" t="inlineStr">
        <is>
          <t>Key activities you measure.</t>
        </is>
      </c>
    </row>
    <row r="16" ht="15.75" customHeight="1" s="30">
      <c r="B16" s="6" t="inlineStr">
        <is>
          <t>High-Level Concept</t>
        </is>
      </c>
      <c r="C16" s="11">
        <f>IF(LEN(TRIM(HighLevelConcept))=0,"MISSING","Complete")</f>
        <v/>
      </c>
      <c r="D16" s="11">
        <f>IF(LEN(TRIM(HighLevelConcept))=0,0,LEN(TRIM(HighLevelConcept))-LEN(SUBSTITUTE(TRIM(HighLevelConcept)," ",""))+1)</f>
        <v/>
      </c>
      <c r="E16" s="15" t="inlineStr">
        <is>
          <t>Your X-for-Y analogy (e.g. "YouTube for X").</t>
        </is>
      </c>
    </row>
    <row r="17" ht="15.75" customHeight="1" s="30">
      <c r="B17" s="6" t="inlineStr">
        <is>
          <t>Channels</t>
        </is>
      </c>
      <c r="C17" s="11">
        <f>IF(LEN(TRIM(Channels))=0,"MISSING","Complete")</f>
        <v/>
      </c>
      <c r="D17" s="11">
        <f>IF(LEN(TRIM(Channels))=0,0,LEN(TRIM(Channels))-LEN(SUBSTITUTE(TRIM(Channels)," ",""))+1)</f>
        <v/>
      </c>
      <c r="E17" s="15" t="inlineStr">
        <is>
          <t>Your path to customers.</t>
        </is>
      </c>
    </row>
    <row r="18" ht="15.75" customHeight="1" s="30">
      <c r="B18" s="6" t="inlineStr">
        <is>
          <t>Early Adopters</t>
        </is>
      </c>
      <c r="C18" s="11">
        <f>IF(LEN(TRIM(EarlyAdopters))=0,"MISSING","Complete")</f>
        <v/>
      </c>
      <c r="D18" s="11">
        <f>IF(LEN(TRIM(EarlyAdopters))=0,0,LEN(TRIM(EarlyAdopters))-LEN(SUBSTITUTE(TRIM(EarlyAdopters)," ",""))+1)</f>
        <v/>
      </c>
      <c r="E18" s="15" t="inlineStr">
        <is>
          <t>Characteristics of your ideal early adopter.</t>
        </is>
      </c>
    </row>
    <row r="19" ht="15.75" customHeight="1" s="30">
      <c r="B19" s="6" t="inlineStr">
        <is>
          <t>Cost Structure</t>
        </is>
      </c>
      <c r="C19" s="11">
        <f>IF(LEN(TRIM(CostStructure))=0,"MISSING","Complete")</f>
        <v/>
      </c>
      <c r="D19" s="11">
        <f>IF(LEN(TRIM(CostStructure))=0,0,LEN(TRIM(CostStructure))-LEN(SUBSTITUTE(TRIM(CostStructure)," ",""))+1)</f>
        <v/>
      </c>
      <c r="E19" s="15" t="inlineStr">
        <is>
          <t>Customer acquisition costs, distribution, hosting, people, etc.</t>
        </is>
      </c>
    </row>
    <row r="20" ht="15.75" customHeight="1" s="30">
      <c r="B20" s="6" t="inlineStr">
        <is>
          <t>Revenue Streams</t>
        </is>
      </c>
      <c r="C20" s="11">
        <f>IF(LEN(TRIM(RevenueStreams))=0,"MISSING","Complete")</f>
        <v/>
      </c>
      <c r="D20" s="11">
        <f>IF(LEN(TRIM(RevenueStreams))=0,0,LEN(TRIM(RevenueStreams))-LEN(SUBSTITUTE(TRIM(RevenueStreams)," ",""))+1)</f>
        <v/>
      </c>
      <c r="E20" s="15" t="inlineStr">
        <is>
          <t>Revenue model, lifetime value, gross margin.</t>
        </is>
      </c>
    </row>
    <row r="21" ht="15.75" customHeight="1" s="30"/>
    <row r="22" ht="15.75" customHeight="1" s="30">
      <c r="B22" s="29" t="inlineStr">
        <is>
          <t>Grading note: this canvas is read from the named ranges on the "Lean Canvas" tab. Please type into the boxes rather than adding text boxes, images, or extra sheets.</t>
        </is>
      </c>
    </row>
    <row r="23" ht="15.75" customHeight="1" s="30"/>
    <row r="24" ht="15.75" customHeight="1" s="30"/>
    <row r="25" ht="15.75" customHeight="1" s="30"/>
    <row r="26" ht="15.75" customHeight="1" s="30"/>
    <row r="27" ht="15.75" customHeight="1" s="30"/>
    <row r="28" ht="15.75" customHeight="1" s="30"/>
    <row r="29" ht="15.75" customHeight="1" s="30"/>
    <row r="30" ht="15.75" customHeight="1" s="30"/>
    <row r="31" ht="15.75" customHeight="1" s="30"/>
    <row r="32" ht="15.75" customHeight="1" s="30"/>
    <row r="33" ht="15.75" customHeight="1" s="30"/>
    <row r="34" ht="15.75" customHeight="1" s="30"/>
    <row r="35" ht="15.75" customHeight="1" s="30"/>
    <row r="36" ht="15.75" customHeight="1" s="30"/>
    <row r="37" ht="15.75" customHeight="1" s="30"/>
    <row r="38" ht="15.75" customHeight="1" s="30"/>
    <row r="39" ht="15.75" customHeight="1" s="30"/>
    <row r="40" ht="15.75" customHeight="1" s="30"/>
    <row r="41" ht="15.75" customHeight="1" s="30"/>
    <row r="42" ht="15.75" customHeight="1" s="30"/>
    <row r="43" ht="15.75" customHeight="1" s="30"/>
    <row r="44" ht="15.75" customHeight="1" s="30"/>
    <row r="45" ht="15.75" customHeight="1" s="30"/>
    <row r="46" ht="15.75" customHeight="1" s="30"/>
    <row r="47" ht="15.75" customHeight="1" s="30"/>
    <row r="48" ht="15.75" customHeight="1" s="30"/>
    <row r="49" ht="15.75" customHeight="1" s="30"/>
    <row r="50" ht="15.75" customHeight="1" s="30"/>
    <row r="51" ht="15.75" customHeight="1" s="30"/>
    <row r="52" ht="15.75" customHeight="1" s="30"/>
    <row r="53" ht="15.75" customHeight="1" s="30"/>
    <row r="54" ht="15.75" customHeight="1" s="30"/>
    <row r="55" ht="15.75" customHeight="1" s="30"/>
    <row r="56" ht="15.75" customHeight="1" s="30"/>
    <row r="57" ht="15.75" customHeight="1" s="30"/>
    <row r="58" ht="15.75" customHeight="1" s="30"/>
    <row r="59" ht="15.75" customHeight="1" s="30"/>
    <row r="60" ht="15.75" customHeight="1" s="30"/>
    <row r="61" ht="15.75" customHeight="1" s="30"/>
    <row r="62" ht="15.75" customHeight="1" s="30"/>
    <row r="63" ht="15.75" customHeight="1" s="30"/>
    <row r="64" ht="15.75" customHeight="1" s="30"/>
    <row r="65" ht="15.75" customHeight="1" s="30"/>
    <row r="66" ht="15.75" customHeight="1" s="30"/>
    <row r="67" ht="15.75" customHeight="1" s="30"/>
    <row r="68" ht="15.75" customHeight="1" s="30"/>
    <row r="69" ht="15.75" customHeight="1" s="30"/>
    <row r="70" ht="15.75" customHeight="1" s="30"/>
    <row r="71" ht="15.75" customHeight="1" s="30"/>
    <row r="72" ht="15.75" customHeight="1" s="30"/>
    <row r="73" ht="15.75" customHeight="1" s="30"/>
    <row r="74" ht="15.75" customHeight="1" s="30"/>
    <row r="75" ht="15.75" customHeight="1" s="30"/>
    <row r="76" ht="15.75" customHeight="1" s="30"/>
    <row r="77" ht="15.75" customHeight="1" s="30"/>
    <row r="78" ht="15.75" customHeight="1" s="30"/>
    <row r="79" ht="15.75" customHeight="1" s="30"/>
    <row r="80" ht="15.75" customHeight="1" s="30"/>
    <row r="81" ht="15.75" customHeight="1" s="30"/>
    <row r="82" ht="15.75" customHeight="1" s="30"/>
    <row r="83" ht="15.75" customHeight="1" s="30"/>
    <row r="84" ht="15.75" customHeight="1" s="30"/>
    <row r="85" ht="15.75" customHeight="1" s="30"/>
    <row r="86" ht="15.75" customHeight="1" s="30"/>
    <row r="87" ht="15.75" customHeight="1" s="30"/>
    <row r="88" ht="15.75" customHeight="1" s="30"/>
    <row r="89" ht="15.75" customHeight="1" s="30"/>
    <row r="90" ht="15.75" customHeight="1" s="30"/>
    <row r="91" ht="15.75" customHeight="1" s="30"/>
    <row r="92" ht="15.75" customHeight="1" s="30"/>
    <row r="93" ht="15.75" customHeight="1" s="30"/>
    <row r="94" ht="15.75" customHeight="1" s="30"/>
    <row r="95" ht="15.75" customHeight="1" s="30"/>
    <row r="96" ht="15.75" customHeight="1" s="30"/>
    <row r="97" ht="15.75" customHeight="1" s="30"/>
    <row r="98" ht="15.75" customHeight="1" s="30"/>
    <row r="99" ht="15.75" customHeight="1" s="30"/>
    <row r="100" ht="15.75" customHeight="1" s="30"/>
    <row r="101" ht="15.75" customHeight="1" s="30"/>
    <row r="102" ht="15.75" customHeight="1" s="30"/>
    <row r="103" ht="15.75" customHeight="1" s="30"/>
    <row r="104" ht="15.75" customHeight="1" s="30"/>
    <row r="105" ht="15.75" customHeight="1" s="30"/>
    <row r="106" ht="15.75" customHeight="1" s="30"/>
    <row r="107" ht="15.75" customHeight="1" s="30"/>
    <row r="108" ht="15.75" customHeight="1" s="30"/>
    <row r="109" ht="15.75" customHeight="1" s="30"/>
    <row r="110" ht="15.75" customHeight="1" s="30"/>
    <row r="111" ht="15.75" customHeight="1" s="30"/>
    <row r="112" ht="15.75" customHeight="1" s="30"/>
    <row r="113" ht="15.75" customHeight="1" s="30"/>
    <row r="114" ht="15.75" customHeight="1" s="30"/>
    <row r="115" ht="15.75" customHeight="1" s="30"/>
    <row r="116" ht="15.75" customHeight="1" s="30"/>
    <row r="117" ht="15.75" customHeight="1" s="30"/>
    <row r="118" ht="15.75" customHeight="1" s="30"/>
    <row r="119" ht="15.75" customHeight="1" s="30"/>
    <row r="120" ht="15.75" customHeight="1" s="30"/>
    <row r="121" ht="15.75" customHeight="1" s="30"/>
    <row r="122" ht="15.75" customHeight="1" s="30"/>
    <row r="123" ht="15.75" customHeight="1" s="30"/>
    <row r="124" ht="15.75" customHeight="1" s="30"/>
    <row r="125" ht="15.75" customHeight="1" s="30"/>
    <row r="126" ht="15.75" customHeight="1" s="30"/>
    <row r="127" ht="15.75" customHeight="1" s="30"/>
    <row r="128" ht="15.75" customHeight="1" s="30"/>
    <row r="129" ht="15.75" customHeight="1" s="30"/>
    <row r="130" ht="15.75" customHeight="1" s="30"/>
    <row r="131" ht="15.75" customHeight="1" s="30"/>
    <row r="132" ht="15.75" customHeight="1" s="30"/>
    <row r="133" ht="15.75" customHeight="1" s="30"/>
    <row r="134" ht="15.75" customHeight="1" s="30"/>
    <row r="135" ht="15.75" customHeight="1" s="30"/>
    <row r="136" ht="15.75" customHeight="1" s="30"/>
    <row r="137" ht="15.75" customHeight="1" s="30"/>
    <row r="138" ht="15.75" customHeight="1" s="30"/>
    <row r="139" ht="15.75" customHeight="1" s="30"/>
    <row r="140" ht="15.75" customHeight="1" s="30"/>
    <row r="141" ht="15.75" customHeight="1" s="30"/>
    <row r="142" ht="15.75" customHeight="1" s="30"/>
    <row r="143" ht="15.75" customHeight="1" s="30"/>
    <row r="144" ht="15.75" customHeight="1" s="30"/>
    <row r="145" ht="15.75" customHeight="1" s="30"/>
    <row r="146" ht="15.75" customHeight="1" s="30"/>
    <row r="147" ht="15.75" customHeight="1" s="30"/>
    <row r="148" ht="15.75" customHeight="1" s="30"/>
    <row r="149" ht="15.75" customHeight="1" s="30"/>
    <row r="150" ht="15.75" customHeight="1" s="30"/>
    <row r="151" ht="15.75" customHeight="1" s="30"/>
    <row r="152" ht="15.75" customHeight="1" s="30"/>
    <row r="153" ht="15.75" customHeight="1" s="30"/>
    <row r="154" ht="15.75" customHeight="1" s="30"/>
    <row r="155" ht="15.75" customHeight="1" s="30"/>
    <row r="156" ht="15.75" customHeight="1" s="30"/>
    <row r="157" ht="15.75" customHeight="1" s="30"/>
    <row r="158" ht="15.75" customHeight="1" s="30"/>
    <row r="159" ht="15.75" customHeight="1" s="30"/>
    <row r="160" ht="15.75" customHeight="1" s="30"/>
    <row r="161" ht="15.75" customHeight="1" s="30"/>
    <row r="162" ht="15.75" customHeight="1" s="30"/>
    <row r="163" ht="15.75" customHeight="1" s="30"/>
    <row r="164" ht="15.75" customHeight="1" s="30"/>
    <row r="165" ht="15.75" customHeight="1" s="30"/>
    <row r="166" ht="15.75" customHeight="1" s="30"/>
    <row r="167" ht="15.75" customHeight="1" s="30"/>
    <row r="168" ht="15.75" customHeight="1" s="30"/>
    <row r="169" ht="15.75" customHeight="1" s="30"/>
    <row r="170" ht="15.75" customHeight="1" s="30"/>
    <row r="171" ht="15.75" customHeight="1" s="30"/>
    <row r="172" ht="15.75" customHeight="1" s="30"/>
    <row r="173" ht="15.75" customHeight="1" s="30"/>
    <row r="174" ht="15.75" customHeight="1" s="30"/>
    <row r="175" ht="15.75" customHeight="1" s="30"/>
    <row r="176" ht="15.75" customHeight="1" s="30"/>
    <row r="177" ht="15.75" customHeight="1" s="30"/>
    <row r="178" ht="15.75" customHeight="1" s="30"/>
    <row r="179" ht="15.75" customHeight="1" s="30"/>
    <row r="180" ht="15.75" customHeight="1" s="30"/>
    <row r="181" ht="15.75" customHeight="1" s="30"/>
    <row r="182" ht="15.75" customHeight="1" s="30"/>
    <row r="183" ht="15.75" customHeight="1" s="30"/>
    <row r="184" ht="15.75" customHeight="1" s="30"/>
    <row r="185" ht="15.75" customHeight="1" s="30"/>
    <row r="186" ht="15.75" customHeight="1" s="30"/>
    <row r="187" ht="15.75" customHeight="1" s="30"/>
    <row r="188" ht="15.75" customHeight="1" s="30"/>
    <row r="189" ht="15.75" customHeight="1" s="30"/>
    <row r="190" ht="15.75" customHeight="1" s="30"/>
    <row r="191" ht="15.75" customHeight="1" s="30"/>
    <row r="192" ht="15.75" customHeight="1" s="30"/>
    <row r="193" ht="15.75" customHeight="1" s="30"/>
    <row r="194" ht="15.75" customHeight="1" s="30"/>
    <row r="195" ht="15.75" customHeight="1" s="30"/>
    <row r="196" ht="15.75" customHeight="1" s="30"/>
    <row r="197" ht="15.75" customHeight="1" s="30"/>
    <row r="198" ht="15.75" customHeight="1" s="30"/>
    <row r="199" ht="15.75" customHeight="1" s="30"/>
    <row r="200" ht="15.75" customHeight="1" s="30"/>
    <row r="201" ht="15.75" customHeight="1" s="30"/>
    <row r="202" ht="15.75" customHeight="1" s="30"/>
    <row r="203" ht="15.75" customHeight="1" s="30"/>
    <row r="204" ht="15.75" customHeight="1" s="30"/>
    <row r="205" ht="15.75" customHeight="1" s="30"/>
    <row r="206" ht="15.75" customHeight="1" s="30"/>
    <row r="207" ht="15.75" customHeight="1" s="30"/>
    <row r="208" ht="15.75" customHeight="1" s="30"/>
    <row r="209" ht="15.75" customHeight="1" s="30"/>
    <row r="210" ht="15.75" customHeight="1" s="30"/>
    <row r="211" ht="15.75" customHeight="1" s="30"/>
    <row r="212" ht="15.75" customHeight="1" s="30"/>
    <row r="213" ht="15.75" customHeight="1" s="30"/>
    <row r="214" ht="15.75" customHeight="1" s="30"/>
    <row r="215" ht="15.75" customHeight="1" s="30"/>
    <row r="216" ht="15.75" customHeight="1" s="30"/>
    <row r="217" ht="15.75" customHeight="1" s="30"/>
    <row r="218" ht="15.75" customHeight="1" s="30"/>
    <row r="219" ht="15.75" customHeight="1" s="30"/>
    <row r="220" ht="15.75" customHeight="1" s="30"/>
    <row r="221" ht="15.75" customHeight="1" s="30"/>
    <row r="222" ht="15.75" customHeight="1" s="30"/>
    <row r="223" ht="15.75" customHeight="1" s="30"/>
    <row r="224" ht="15.75" customHeight="1" s="30"/>
    <row r="225" ht="15.75" customHeight="1" s="30"/>
    <row r="226" ht="15.75" customHeight="1" s="30"/>
    <row r="227" ht="15.75" customHeight="1" s="30"/>
    <row r="228" ht="15.75" customHeight="1" s="30"/>
    <row r="229" ht="15.75" customHeight="1" s="30"/>
    <row r="230" ht="15.75" customHeight="1" s="30"/>
    <row r="231" ht="15.75" customHeight="1" s="30"/>
    <row r="232" ht="15.75" customHeight="1" s="30"/>
    <row r="233" ht="15.75" customHeight="1" s="30"/>
    <row r="234" ht="15.75" customHeight="1" s="30"/>
    <row r="235" ht="15.75" customHeight="1" s="30"/>
    <row r="236" ht="15.75" customHeight="1" s="30"/>
    <row r="237" ht="15.75" customHeight="1" s="30"/>
    <row r="238" ht="15.75" customHeight="1" s="30"/>
    <row r="239" ht="15.75" customHeight="1" s="30"/>
    <row r="240" ht="15.75" customHeight="1" s="30"/>
    <row r="241" ht="15.75" customHeight="1" s="30"/>
    <row r="242" ht="15.75" customHeight="1" s="30"/>
    <row r="243" ht="15.75" customHeight="1" s="30"/>
    <row r="244" ht="15.75" customHeight="1" s="30"/>
    <row r="245" ht="15.75" customHeight="1" s="30"/>
    <row r="246" ht="15.75" customHeight="1" s="30"/>
    <row r="247" ht="15.75" customHeight="1" s="30"/>
    <row r="248" ht="15.75" customHeight="1" s="30"/>
    <row r="249" ht="15.75" customHeight="1" s="30"/>
    <row r="250" ht="15.75" customHeight="1" s="30"/>
    <row r="251" ht="15.75" customHeight="1" s="30"/>
    <row r="252" ht="15.75" customHeight="1" s="30"/>
    <row r="253" ht="15.75" customHeight="1" s="30"/>
    <row r="254" ht="15.75" customHeight="1" s="30"/>
    <row r="255" ht="15.75" customHeight="1" s="30"/>
    <row r="256" ht="15.75" customHeight="1" s="30"/>
    <row r="257" ht="15.75" customHeight="1" s="30"/>
    <row r="258" ht="15.75" customHeight="1" s="30"/>
    <row r="259" ht="15.75" customHeight="1" s="30"/>
    <row r="260" ht="15.75" customHeight="1" s="30"/>
    <row r="261" ht="15.75" customHeight="1" s="30"/>
    <row r="262" ht="15.75" customHeight="1" s="30"/>
    <row r="263" ht="15.75" customHeight="1" s="30"/>
    <row r="264" ht="15.75" customHeight="1" s="30"/>
    <row r="265" ht="15.75" customHeight="1" s="30"/>
    <row r="266" ht="15.75" customHeight="1" s="30"/>
    <row r="267" ht="15.75" customHeight="1" s="30"/>
    <row r="268" ht="15.75" customHeight="1" s="30"/>
    <row r="269" ht="15.75" customHeight="1" s="30"/>
    <row r="270" ht="15.75" customHeight="1" s="30"/>
    <row r="271" ht="15.75" customHeight="1" s="30"/>
    <row r="272" ht="15.75" customHeight="1" s="30"/>
    <row r="273" ht="15.75" customHeight="1" s="30"/>
    <row r="274" ht="15.75" customHeight="1" s="30"/>
    <row r="275" ht="15.75" customHeight="1" s="30"/>
    <row r="276" ht="15.75" customHeight="1" s="30"/>
    <row r="277" ht="15.75" customHeight="1" s="30"/>
    <row r="278" ht="15.75" customHeight="1" s="30"/>
    <row r="279" ht="15.75" customHeight="1" s="30"/>
    <row r="280" ht="15.75" customHeight="1" s="30"/>
    <row r="281" ht="15.75" customHeight="1" s="30"/>
    <row r="282" ht="15.75" customHeight="1" s="30"/>
    <row r="283" ht="15.75" customHeight="1" s="30"/>
    <row r="284" ht="15.75" customHeight="1" s="30"/>
    <row r="285" ht="15.75" customHeight="1" s="30"/>
    <row r="286" ht="15.75" customHeight="1" s="30"/>
    <row r="287" ht="15.75" customHeight="1" s="30"/>
    <row r="288" ht="15.75" customHeight="1" s="30"/>
    <row r="289" ht="15.75" customHeight="1" s="30"/>
    <row r="290" ht="15.75" customHeight="1" s="30"/>
    <row r="291" ht="15.75" customHeight="1" s="30"/>
    <row r="292" ht="15.75" customHeight="1" s="30"/>
    <row r="293" ht="15.75" customHeight="1" s="30"/>
    <row r="294" ht="15.75" customHeight="1" s="30"/>
    <row r="295" ht="15.75" customHeight="1" s="30"/>
    <row r="296" ht="15.75" customHeight="1" s="30"/>
    <row r="297" ht="15.75" customHeight="1" s="30"/>
    <row r="298" ht="15.75" customHeight="1" s="30"/>
    <row r="299" ht="15.75" customHeight="1" s="30"/>
    <row r="300" ht="15.75" customHeight="1" s="30"/>
    <row r="301" ht="15.75" customHeight="1" s="30"/>
    <row r="302" ht="15.75" customHeight="1" s="30"/>
    <row r="303" ht="15.75" customHeight="1" s="30"/>
    <row r="304" ht="15.75" customHeight="1" s="30"/>
    <row r="305" ht="15.75" customHeight="1" s="30"/>
    <row r="306" ht="15.75" customHeight="1" s="30"/>
    <row r="307" ht="15.75" customHeight="1" s="30"/>
    <row r="308" ht="15.75" customHeight="1" s="30"/>
    <row r="309" ht="15.75" customHeight="1" s="30"/>
    <row r="310" ht="15.75" customHeight="1" s="30"/>
    <row r="311" ht="15.75" customHeight="1" s="30"/>
    <row r="312" ht="15.75" customHeight="1" s="30"/>
    <row r="313" ht="15.75" customHeight="1" s="30"/>
    <row r="314" ht="15.75" customHeight="1" s="30"/>
    <row r="315" ht="15.75" customHeight="1" s="30"/>
    <row r="316" ht="15.75" customHeight="1" s="30"/>
    <row r="317" ht="15.75" customHeight="1" s="30"/>
    <row r="318" ht="15.75" customHeight="1" s="30"/>
    <row r="319" ht="15.75" customHeight="1" s="30"/>
    <row r="320" ht="15.75" customHeight="1" s="30"/>
    <row r="321" ht="15.75" customHeight="1" s="30"/>
    <row r="322" ht="15.75" customHeight="1" s="30"/>
    <row r="323" ht="15.75" customHeight="1" s="30"/>
    <row r="324" ht="15.75" customHeight="1" s="30"/>
    <row r="325" ht="15.75" customHeight="1" s="30"/>
    <row r="326" ht="15.75" customHeight="1" s="30"/>
    <row r="327" ht="15.75" customHeight="1" s="30"/>
    <row r="328" ht="15.75" customHeight="1" s="30"/>
    <row r="329" ht="15.75" customHeight="1" s="30"/>
    <row r="330" ht="15.75" customHeight="1" s="30"/>
    <row r="331" ht="15.75" customHeight="1" s="30"/>
    <row r="332" ht="15.75" customHeight="1" s="30"/>
    <row r="333" ht="15.75" customHeight="1" s="30"/>
    <row r="334" ht="15.75" customHeight="1" s="30"/>
    <row r="335" ht="15.75" customHeight="1" s="30"/>
    <row r="336" ht="15.75" customHeight="1" s="30"/>
    <row r="337" ht="15.75" customHeight="1" s="30"/>
    <row r="338" ht="15.75" customHeight="1" s="30"/>
    <row r="339" ht="15.75" customHeight="1" s="30"/>
    <row r="340" ht="15.75" customHeight="1" s="30"/>
    <row r="341" ht="15.75" customHeight="1" s="30"/>
    <row r="342" ht="15.75" customHeight="1" s="30"/>
    <row r="343" ht="15.75" customHeight="1" s="30"/>
    <row r="344" ht="15.75" customHeight="1" s="30"/>
    <row r="345" ht="15.75" customHeight="1" s="30"/>
    <row r="346" ht="15.75" customHeight="1" s="30"/>
    <row r="347" ht="15.75" customHeight="1" s="30"/>
    <row r="348" ht="15.75" customHeight="1" s="30"/>
    <row r="349" ht="15.75" customHeight="1" s="30"/>
    <row r="350" ht="15.75" customHeight="1" s="30"/>
    <row r="351" ht="15.75" customHeight="1" s="30"/>
    <row r="352" ht="15.75" customHeight="1" s="30"/>
    <row r="353" ht="15.75" customHeight="1" s="30"/>
    <row r="354" ht="15.75" customHeight="1" s="30"/>
    <row r="355" ht="15.75" customHeight="1" s="30"/>
    <row r="356" ht="15.75" customHeight="1" s="30"/>
    <row r="357" ht="15.75" customHeight="1" s="30"/>
    <row r="358" ht="15.75" customHeight="1" s="30"/>
    <row r="359" ht="15.75" customHeight="1" s="30"/>
    <row r="360" ht="15.75" customHeight="1" s="30"/>
    <row r="361" ht="15.75" customHeight="1" s="30"/>
    <row r="362" ht="15.75" customHeight="1" s="30"/>
    <row r="363" ht="15.75" customHeight="1" s="30"/>
    <row r="364" ht="15.75" customHeight="1" s="30"/>
    <row r="365" ht="15.75" customHeight="1" s="30"/>
    <row r="366" ht="15.75" customHeight="1" s="30"/>
    <row r="367" ht="15.75" customHeight="1" s="30"/>
    <row r="368" ht="15.75" customHeight="1" s="30"/>
    <row r="369" ht="15.75" customHeight="1" s="30"/>
    <row r="370" ht="15.75" customHeight="1" s="30"/>
    <row r="371" ht="15.75" customHeight="1" s="30"/>
    <row r="372" ht="15.75" customHeight="1" s="30"/>
    <row r="373" ht="15.75" customHeight="1" s="30"/>
    <row r="374" ht="15.75" customHeight="1" s="30"/>
    <row r="375" ht="15.75" customHeight="1" s="30"/>
    <row r="376" ht="15.75" customHeight="1" s="30"/>
    <row r="377" ht="15.75" customHeight="1" s="30"/>
    <row r="378" ht="15.75" customHeight="1" s="30"/>
    <row r="379" ht="15.75" customHeight="1" s="30"/>
    <row r="380" ht="15.75" customHeight="1" s="30"/>
    <row r="381" ht="15.75" customHeight="1" s="30"/>
    <row r="382" ht="15.75" customHeight="1" s="30"/>
    <row r="383" ht="15.75" customHeight="1" s="30"/>
    <row r="384" ht="15.75" customHeight="1" s="30"/>
    <row r="385" ht="15.75" customHeight="1" s="30"/>
    <row r="386" ht="15.75" customHeight="1" s="30"/>
    <row r="387" ht="15.75" customHeight="1" s="30"/>
    <row r="388" ht="15.75" customHeight="1" s="30"/>
    <row r="389" ht="15.75" customHeight="1" s="30"/>
    <row r="390" ht="15.75" customHeight="1" s="30"/>
    <row r="391" ht="15.75" customHeight="1" s="30"/>
    <row r="392" ht="15.75" customHeight="1" s="30"/>
    <row r="393" ht="15.75" customHeight="1" s="30"/>
    <row r="394" ht="15.75" customHeight="1" s="30"/>
    <row r="395" ht="15.75" customHeight="1" s="30"/>
    <row r="396" ht="15.75" customHeight="1" s="30"/>
    <row r="397" ht="15.75" customHeight="1" s="30"/>
    <row r="398" ht="15.75" customHeight="1" s="30"/>
    <row r="399" ht="15.75" customHeight="1" s="30"/>
    <row r="400" ht="15.75" customHeight="1" s="30"/>
    <row r="401" ht="15.75" customHeight="1" s="30"/>
    <row r="402" ht="15.75" customHeight="1" s="30"/>
    <row r="403" ht="15.75" customHeight="1" s="30"/>
    <row r="404" ht="15.75" customHeight="1" s="30"/>
    <row r="405" ht="15.75" customHeight="1" s="30"/>
    <row r="406" ht="15.75" customHeight="1" s="30"/>
    <row r="407" ht="15.75" customHeight="1" s="30"/>
    <row r="408" ht="15.75" customHeight="1" s="30"/>
    <row r="409" ht="15.75" customHeight="1" s="30"/>
    <row r="410" ht="15.75" customHeight="1" s="30"/>
    <row r="411" ht="15.75" customHeight="1" s="30"/>
    <row r="412" ht="15.75" customHeight="1" s="30"/>
    <row r="413" ht="15.75" customHeight="1" s="30"/>
    <row r="414" ht="15.75" customHeight="1" s="30"/>
    <row r="415" ht="15.75" customHeight="1" s="30"/>
    <row r="416" ht="15.75" customHeight="1" s="30"/>
    <row r="417" ht="15.75" customHeight="1" s="30"/>
    <row r="418" ht="15.75" customHeight="1" s="30"/>
    <row r="419" ht="15.75" customHeight="1" s="30"/>
    <row r="420" ht="15.75" customHeight="1" s="30"/>
    <row r="421" ht="15.75" customHeight="1" s="30"/>
    <row r="422" ht="15.75" customHeight="1" s="30"/>
    <row r="423" ht="15.75" customHeight="1" s="30"/>
    <row r="424" ht="15.75" customHeight="1" s="30"/>
    <row r="425" ht="15.75" customHeight="1" s="30"/>
    <row r="426" ht="15.75" customHeight="1" s="30"/>
    <row r="427" ht="15.75" customHeight="1" s="30"/>
    <row r="428" ht="15.75" customHeight="1" s="30"/>
    <row r="429" ht="15.75" customHeight="1" s="30"/>
    <row r="430" ht="15.75" customHeight="1" s="30"/>
    <row r="431" ht="15.75" customHeight="1" s="30"/>
    <row r="432" ht="15.75" customHeight="1" s="30"/>
    <row r="433" ht="15.75" customHeight="1" s="30"/>
    <row r="434" ht="15.75" customHeight="1" s="30"/>
    <row r="435" ht="15.75" customHeight="1" s="30"/>
    <row r="436" ht="15.75" customHeight="1" s="30"/>
    <row r="437" ht="15.75" customHeight="1" s="30"/>
    <row r="438" ht="15.75" customHeight="1" s="30"/>
    <row r="439" ht="15.75" customHeight="1" s="30"/>
    <row r="440" ht="15.75" customHeight="1" s="30"/>
    <row r="441" ht="15.75" customHeight="1" s="30"/>
    <row r="442" ht="15.75" customHeight="1" s="30"/>
    <row r="443" ht="15.75" customHeight="1" s="30"/>
    <row r="444" ht="15.75" customHeight="1" s="30"/>
    <row r="445" ht="15.75" customHeight="1" s="30"/>
    <row r="446" ht="15.75" customHeight="1" s="30"/>
    <row r="447" ht="15.75" customHeight="1" s="30"/>
    <row r="448" ht="15.75" customHeight="1" s="30"/>
    <row r="449" ht="15.75" customHeight="1" s="30"/>
    <row r="450" ht="15.75" customHeight="1" s="30"/>
    <row r="451" ht="15.75" customHeight="1" s="30"/>
    <row r="452" ht="15.75" customHeight="1" s="30"/>
    <row r="453" ht="15.75" customHeight="1" s="30"/>
    <row r="454" ht="15.75" customHeight="1" s="30"/>
    <row r="455" ht="15.75" customHeight="1" s="30"/>
    <row r="456" ht="15.75" customHeight="1" s="30"/>
    <row r="457" ht="15.75" customHeight="1" s="30"/>
    <row r="458" ht="15.75" customHeight="1" s="30"/>
    <row r="459" ht="15.75" customHeight="1" s="30"/>
    <row r="460" ht="15.75" customHeight="1" s="30"/>
    <row r="461" ht="15.75" customHeight="1" s="30"/>
    <row r="462" ht="15.75" customHeight="1" s="30"/>
    <row r="463" ht="15.75" customHeight="1" s="30"/>
    <row r="464" ht="15.75" customHeight="1" s="30"/>
    <row r="465" ht="15.75" customHeight="1" s="30"/>
    <row r="466" ht="15.75" customHeight="1" s="30"/>
    <row r="467" ht="15.75" customHeight="1" s="30"/>
    <row r="468" ht="15.75" customHeight="1" s="30"/>
    <row r="469" ht="15.75" customHeight="1" s="30"/>
    <row r="470" ht="15.75" customHeight="1" s="30"/>
    <row r="471" ht="15.75" customHeight="1" s="30"/>
    <row r="472" ht="15.75" customHeight="1" s="30"/>
    <row r="473" ht="15.75" customHeight="1" s="30"/>
    <row r="474" ht="15.75" customHeight="1" s="30"/>
    <row r="475" ht="15.75" customHeight="1" s="30"/>
    <row r="476" ht="15.75" customHeight="1" s="30"/>
    <row r="477" ht="15.75" customHeight="1" s="30"/>
    <row r="478" ht="15.75" customHeight="1" s="30"/>
    <row r="479" ht="15.75" customHeight="1" s="30"/>
    <row r="480" ht="15.75" customHeight="1" s="30"/>
    <row r="481" ht="15.75" customHeight="1" s="30"/>
    <row r="482" ht="15.75" customHeight="1" s="30"/>
    <row r="483" ht="15.75" customHeight="1" s="30"/>
    <row r="484" ht="15.75" customHeight="1" s="30"/>
    <row r="485" ht="15.75" customHeight="1" s="30"/>
    <row r="486" ht="15.75" customHeight="1" s="30"/>
    <row r="487" ht="15.75" customHeight="1" s="30"/>
    <row r="488" ht="15.75" customHeight="1" s="30"/>
    <row r="489" ht="15.75" customHeight="1" s="30"/>
    <row r="490" ht="15.75" customHeight="1" s="30"/>
    <row r="491" ht="15.75" customHeight="1" s="30"/>
    <row r="492" ht="15.75" customHeight="1" s="30"/>
    <row r="493" ht="15.75" customHeight="1" s="30"/>
    <row r="494" ht="15.75" customHeight="1" s="30"/>
    <row r="495" ht="15.75" customHeight="1" s="30"/>
    <row r="496" ht="15.75" customHeight="1" s="30"/>
    <row r="497" ht="15.75" customHeight="1" s="30"/>
    <row r="498" ht="15.75" customHeight="1" s="30"/>
    <row r="499" ht="15.75" customHeight="1" s="30"/>
    <row r="500" ht="15.75" customHeight="1" s="30"/>
    <row r="501" ht="15.75" customHeight="1" s="30"/>
    <row r="502" ht="15.75" customHeight="1" s="30"/>
    <row r="503" ht="15.75" customHeight="1" s="30"/>
    <row r="504" ht="15.75" customHeight="1" s="30"/>
    <row r="505" ht="15.75" customHeight="1" s="30"/>
    <row r="506" ht="15.75" customHeight="1" s="30"/>
    <row r="507" ht="15.75" customHeight="1" s="30"/>
    <row r="508" ht="15.75" customHeight="1" s="30"/>
    <row r="509" ht="15.75" customHeight="1" s="30"/>
    <row r="510" ht="15.75" customHeight="1" s="30"/>
    <row r="511" ht="15.75" customHeight="1" s="30"/>
    <row r="512" ht="15.75" customHeight="1" s="30"/>
    <row r="513" ht="15.75" customHeight="1" s="30"/>
    <row r="514" ht="15.75" customHeight="1" s="30"/>
    <row r="515" ht="15.75" customHeight="1" s="30"/>
    <row r="516" ht="15.75" customHeight="1" s="30"/>
    <row r="517" ht="15.75" customHeight="1" s="30"/>
    <row r="518" ht="15.75" customHeight="1" s="30"/>
    <row r="519" ht="15.75" customHeight="1" s="30"/>
    <row r="520" ht="15.75" customHeight="1" s="30"/>
    <row r="521" ht="15.75" customHeight="1" s="30"/>
    <row r="522" ht="15.75" customHeight="1" s="30"/>
    <row r="523" ht="15.75" customHeight="1" s="30"/>
    <row r="524" ht="15.75" customHeight="1" s="30"/>
    <row r="525" ht="15.75" customHeight="1" s="30"/>
    <row r="526" ht="15.75" customHeight="1" s="30"/>
    <row r="527" ht="15.75" customHeight="1" s="30"/>
    <row r="528" ht="15.75" customHeight="1" s="30"/>
    <row r="529" ht="15.75" customHeight="1" s="30"/>
    <row r="530" ht="15.75" customHeight="1" s="30"/>
    <row r="531" ht="15.75" customHeight="1" s="30"/>
    <row r="532" ht="15.75" customHeight="1" s="30"/>
    <row r="533" ht="15.75" customHeight="1" s="30"/>
    <row r="534" ht="15.75" customHeight="1" s="30"/>
    <row r="535" ht="15.75" customHeight="1" s="30"/>
    <row r="536" ht="15.75" customHeight="1" s="30"/>
    <row r="537" ht="15.75" customHeight="1" s="30"/>
    <row r="538" ht="15.75" customHeight="1" s="30"/>
    <row r="539" ht="15.75" customHeight="1" s="30"/>
    <row r="540" ht="15.75" customHeight="1" s="30"/>
    <row r="541" ht="15.75" customHeight="1" s="30"/>
    <row r="542" ht="15.75" customHeight="1" s="30"/>
    <row r="543" ht="15.75" customHeight="1" s="30"/>
    <row r="544" ht="15.75" customHeight="1" s="30"/>
    <row r="545" ht="15.75" customHeight="1" s="30"/>
    <row r="546" ht="15.75" customHeight="1" s="30"/>
    <row r="547" ht="15.75" customHeight="1" s="30"/>
    <row r="548" ht="15.75" customHeight="1" s="30"/>
    <row r="549" ht="15.75" customHeight="1" s="30"/>
    <row r="550" ht="15.75" customHeight="1" s="30"/>
    <row r="551" ht="15.75" customHeight="1" s="30"/>
    <row r="552" ht="15.75" customHeight="1" s="30"/>
    <row r="553" ht="15.75" customHeight="1" s="30"/>
    <row r="554" ht="15.75" customHeight="1" s="30"/>
    <row r="555" ht="15.75" customHeight="1" s="30"/>
    <row r="556" ht="15.75" customHeight="1" s="30"/>
    <row r="557" ht="15.75" customHeight="1" s="30"/>
    <row r="558" ht="15.75" customHeight="1" s="30"/>
    <row r="559" ht="15.75" customHeight="1" s="30"/>
    <row r="560" ht="15.75" customHeight="1" s="30"/>
    <row r="561" ht="15.75" customHeight="1" s="30"/>
    <row r="562" ht="15.75" customHeight="1" s="30"/>
    <row r="563" ht="15.75" customHeight="1" s="30"/>
    <row r="564" ht="15.75" customHeight="1" s="30"/>
    <row r="565" ht="15.75" customHeight="1" s="30"/>
    <row r="566" ht="15.75" customHeight="1" s="30"/>
    <row r="567" ht="15.75" customHeight="1" s="30"/>
    <row r="568" ht="15.75" customHeight="1" s="30"/>
    <row r="569" ht="15.75" customHeight="1" s="30"/>
    <row r="570" ht="15.75" customHeight="1" s="30"/>
    <row r="571" ht="15.75" customHeight="1" s="30"/>
    <row r="572" ht="15.75" customHeight="1" s="30"/>
    <row r="573" ht="15.75" customHeight="1" s="30"/>
    <row r="574" ht="15.75" customHeight="1" s="30"/>
    <row r="575" ht="15.75" customHeight="1" s="30"/>
    <row r="576" ht="15.75" customHeight="1" s="30"/>
    <row r="577" ht="15.75" customHeight="1" s="30"/>
    <row r="578" ht="15.75" customHeight="1" s="30"/>
    <row r="579" ht="15.75" customHeight="1" s="30"/>
    <row r="580" ht="15.75" customHeight="1" s="30"/>
    <row r="581" ht="15.75" customHeight="1" s="30"/>
    <row r="582" ht="15.75" customHeight="1" s="30"/>
    <row r="583" ht="15.75" customHeight="1" s="30"/>
    <row r="584" ht="15.75" customHeight="1" s="30"/>
    <row r="585" ht="15.75" customHeight="1" s="30"/>
    <row r="586" ht="15.75" customHeight="1" s="30"/>
    <row r="587" ht="15.75" customHeight="1" s="30"/>
    <row r="588" ht="15.75" customHeight="1" s="30"/>
    <row r="589" ht="15.75" customHeight="1" s="30"/>
    <row r="590" ht="15.75" customHeight="1" s="30"/>
    <row r="591" ht="15.75" customHeight="1" s="30"/>
    <row r="592" ht="15.75" customHeight="1" s="30"/>
    <row r="593" ht="15.75" customHeight="1" s="30"/>
    <row r="594" ht="15.75" customHeight="1" s="30"/>
    <row r="595" ht="15.75" customHeight="1" s="30"/>
    <row r="596" ht="15.75" customHeight="1" s="30"/>
    <row r="597" ht="15.75" customHeight="1" s="30"/>
    <row r="598" ht="15.75" customHeight="1" s="30"/>
    <row r="599" ht="15.75" customHeight="1" s="30"/>
    <row r="600" ht="15.75" customHeight="1" s="30"/>
    <row r="601" ht="15.75" customHeight="1" s="30"/>
    <row r="602" ht="15.75" customHeight="1" s="30"/>
    <row r="603" ht="15.75" customHeight="1" s="30"/>
    <row r="604" ht="15.75" customHeight="1" s="30"/>
    <row r="605" ht="15.75" customHeight="1" s="30"/>
    <row r="606" ht="15.75" customHeight="1" s="30"/>
    <row r="607" ht="15.75" customHeight="1" s="30"/>
    <row r="608" ht="15.75" customHeight="1" s="30"/>
    <row r="609" ht="15.75" customHeight="1" s="30"/>
    <row r="610" ht="15.75" customHeight="1" s="30"/>
    <row r="611" ht="15.75" customHeight="1" s="30"/>
    <row r="612" ht="15.75" customHeight="1" s="30"/>
    <row r="613" ht="15.75" customHeight="1" s="30"/>
    <row r="614" ht="15.75" customHeight="1" s="30"/>
    <row r="615" ht="15.75" customHeight="1" s="30"/>
    <row r="616" ht="15.75" customHeight="1" s="30"/>
    <row r="617" ht="15.75" customHeight="1" s="30"/>
    <row r="618" ht="15.75" customHeight="1" s="30"/>
    <row r="619" ht="15.75" customHeight="1" s="30"/>
    <row r="620" ht="15.75" customHeight="1" s="30"/>
    <row r="621" ht="15.75" customHeight="1" s="30"/>
    <row r="622" ht="15.75" customHeight="1" s="30"/>
    <row r="623" ht="15.75" customHeight="1" s="30"/>
    <row r="624" ht="15.75" customHeight="1" s="30"/>
    <row r="625" ht="15.75" customHeight="1" s="30"/>
    <row r="626" ht="15.75" customHeight="1" s="30"/>
    <row r="627" ht="15.75" customHeight="1" s="30"/>
    <row r="628" ht="15.75" customHeight="1" s="30"/>
    <row r="629" ht="15.75" customHeight="1" s="30"/>
    <row r="630" ht="15.75" customHeight="1" s="30"/>
    <row r="631" ht="15.75" customHeight="1" s="30"/>
    <row r="632" ht="15.75" customHeight="1" s="30"/>
    <row r="633" ht="15.75" customHeight="1" s="30"/>
    <row r="634" ht="15.75" customHeight="1" s="30"/>
    <row r="635" ht="15.75" customHeight="1" s="30"/>
    <row r="636" ht="15.75" customHeight="1" s="30"/>
    <row r="637" ht="15.75" customHeight="1" s="30"/>
    <row r="638" ht="15.75" customHeight="1" s="30"/>
    <row r="639" ht="15.75" customHeight="1" s="30"/>
    <row r="640" ht="15.75" customHeight="1" s="30"/>
    <row r="641" ht="15.75" customHeight="1" s="30"/>
    <row r="642" ht="15.75" customHeight="1" s="30"/>
    <row r="643" ht="15.75" customHeight="1" s="30"/>
    <row r="644" ht="15.75" customHeight="1" s="30"/>
    <row r="645" ht="15.75" customHeight="1" s="30"/>
    <row r="646" ht="15.75" customHeight="1" s="30"/>
    <row r="647" ht="15.75" customHeight="1" s="30"/>
    <row r="648" ht="15.75" customHeight="1" s="30"/>
    <row r="649" ht="15.75" customHeight="1" s="30"/>
    <row r="650" ht="15.75" customHeight="1" s="30"/>
    <row r="651" ht="15.75" customHeight="1" s="30"/>
    <row r="652" ht="15.75" customHeight="1" s="30"/>
    <row r="653" ht="15.75" customHeight="1" s="30"/>
    <row r="654" ht="15.75" customHeight="1" s="30"/>
    <row r="655" ht="15.75" customHeight="1" s="30"/>
    <row r="656" ht="15.75" customHeight="1" s="30"/>
    <row r="657" ht="15.75" customHeight="1" s="30"/>
    <row r="658" ht="15.75" customHeight="1" s="30"/>
    <row r="659" ht="15.75" customHeight="1" s="30"/>
    <row r="660" ht="15.75" customHeight="1" s="30"/>
    <row r="661" ht="15.75" customHeight="1" s="30"/>
    <row r="662" ht="15.75" customHeight="1" s="30"/>
    <row r="663" ht="15.75" customHeight="1" s="30"/>
    <row r="664" ht="15.75" customHeight="1" s="30"/>
    <row r="665" ht="15.75" customHeight="1" s="30"/>
    <row r="666" ht="15.75" customHeight="1" s="30"/>
    <row r="667" ht="15.75" customHeight="1" s="30"/>
    <row r="668" ht="15.75" customHeight="1" s="30"/>
    <row r="669" ht="15.75" customHeight="1" s="30"/>
    <row r="670" ht="15.75" customHeight="1" s="30"/>
    <row r="671" ht="15.75" customHeight="1" s="30"/>
    <row r="672" ht="15.75" customHeight="1" s="30"/>
    <row r="673" ht="15.75" customHeight="1" s="30"/>
    <row r="674" ht="15.75" customHeight="1" s="30"/>
    <row r="675" ht="15.75" customHeight="1" s="30"/>
    <row r="676" ht="15.75" customHeight="1" s="30"/>
    <row r="677" ht="15.75" customHeight="1" s="30"/>
    <row r="678" ht="15.75" customHeight="1" s="30"/>
    <row r="679" ht="15.75" customHeight="1" s="30"/>
    <row r="680" ht="15.75" customHeight="1" s="30"/>
    <row r="681" ht="15.75" customHeight="1" s="30"/>
    <row r="682" ht="15.75" customHeight="1" s="30"/>
    <row r="683" ht="15.75" customHeight="1" s="30"/>
    <row r="684" ht="15.75" customHeight="1" s="30"/>
    <row r="685" ht="15.75" customHeight="1" s="30"/>
    <row r="686" ht="15.75" customHeight="1" s="30"/>
    <row r="687" ht="15.75" customHeight="1" s="30"/>
    <row r="688" ht="15.75" customHeight="1" s="30"/>
    <row r="689" ht="15.75" customHeight="1" s="30"/>
    <row r="690" ht="15.75" customHeight="1" s="30"/>
    <row r="691" ht="15.75" customHeight="1" s="30"/>
    <row r="692" ht="15.75" customHeight="1" s="30"/>
    <row r="693" ht="15.75" customHeight="1" s="30"/>
    <row r="694" ht="15.75" customHeight="1" s="30"/>
    <row r="695" ht="15.75" customHeight="1" s="30"/>
    <row r="696" ht="15.75" customHeight="1" s="30"/>
    <row r="697" ht="15.75" customHeight="1" s="30"/>
    <row r="698" ht="15.75" customHeight="1" s="30"/>
    <row r="699" ht="15.75" customHeight="1" s="30"/>
    <row r="700" ht="15.75" customHeight="1" s="30"/>
    <row r="701" ht="15.75" customHeight="1" s="30"/>
    <row r="702" ht="15.75" customHeight="1" s="30"/>
    <row r="703" ht="15.75" customHeight="1" s="30"/>
    <row r="704" ht="15.75" customHeight="1" s="30"/>
    <row r="705" ht="15.75" customHeight="1" s="30"/>
    <row r="706" ht="15.75" customHeight="1" s="30"/>
    <row r="707" ht="15.75" customHeight="1" s="30"/>
    <row r="708" ht="15.75" customHeight="1" s="30"/>
    <row r="709" ht="15.75" customHeight="1" s="30"/>
    <row r="710" ht="15.75" customHeight="1" s="30"/>
    <row r="711" ht="15.75" customHeight="1" s="30"/>
    <row r="712" ht="15.75" customHeight="1" s="30"/>
    <row r="713" ht="15.75" customHeight="1" s="30"/>
    <row r="714" ht="15.75" customHeight="1" s="30"/>
    <row r="715" ht="15.75" customHeight="1" s="30"/>
    <row r="716" ht="15.75" customHeight="1" s="30"/>
    <row r="717" ht="15.75" customHeight="1" s="30"/>
    <row r="718" ht="15.75" customHeight="1" s="30"/>
    <row r="719" ht="15.75" customHeight="1" s="30"/>
    <row r="720" ht="15.75" customHeight="1" s="30"/>
    <row r="721" ht="15.75" customHeight="1" s="30"/>
    <row r="722" ht="15.75" customHeight="1" s="30"/>
    <row r="723" ht="15.75" customHeight="1" s="30"/>
    <row r="724" ht="15.75" customHeight="1" s="30"/>
    <row r="725" ht="15.75" customHeight="1" s="30"/>
    <row r="726" ht="15.75" customHeight="1" s="30"/>
    <row r="727" ht="15.75" customHeight="1" s="30"/>
    <row r="728" ht="15.75" customHeight="1" s="30"/>
    <row r="729" ht="15.75" customHeight="1" s="30"/>
    <row r="730" ht="15.75" customHeight="1" s="30"/>
    <row r="731" ht="15.75" customHeight="1" s="30"/>
    <row r="732" ht="15.75" customHeight="1" s="30"/>
    <row r="733" ht="15.75" customHeight="1" s="30"/>
    <row r="734" ht="15.75" customHeight="1" s="30"/>
    <row r="735" ht="15.75" customHeight="1" s="30"/>
    <row r="736" ht="15.75" customHeight="1" s="30"/>
    <row r="737" ht="15.75" customHeight="1" s="30"/>
    <row r="738" ht="15.75" customHeight="1" s="30"/>
    <row r="739" ht="15.75" customHeight="1" s="30"/>
    <row r="740" ht="15.75" customHeight="1" s="30"/>
    <row r="741" ht="15.75" customHeight="1" s="30"/>
    <row r="742" ht="15.75" customHeight="1" s="30"/>
    <row r="743" ht="15.75" customHeight="1" s="30"/>
    <row r="744" ht="15.75" customHeight="1" s="30"/>
    <row r="745" ht="15.75" customHeight="1" s="30"/>
    <row r="746" ht="15.75" customHeight="1" s="30"/>
    <row r="747" ht="15.75" customHeight="1" s="30"/>
    <row r="748" ht="15.75" customHeight="1" s="30"/>
    <row r="749" ht="15.75" customHeight="1" s="30"/>
    <row r="750" ht="15.75" customHeight="1" s="30"/>
    <row r="751" ht="15.75" customHeight="1" s="30"/>
    <row r="752" ht="15.75" customHeight="1" s="30"/>
    <row r="753" ht="15.75" customHeight="1" s="30"/>
    <row r="754" ht="15.75" customHeight="1" s="30"/>
    <row r="755" ht="15.75" customHeight="1" s="30"/>
    <row r="756" ht="15.75" customHeight="1" s="30"/>
    <row r="757" ht="15.75" customHeight="1" s="30"/>
    <row r="758" ht="15.75" customHeight="1" s="30"/>
    <row r="759" ht="15.75" customHeight="1" s="30"/>
    <row r="760" ht="15.75" customHeight="1" s="30"/>
    <row r="761" ht="15.75" customHeight="1" s="30"/>
    <row r="762" ht="15.75" customHeight="1" s="30"/>
    <row r="763" ht="15.75" customHeight="1" s="30"/>
    <row r="764" ht="15.75" customHeight="1" s="30"/>
    <row r="765" ht="15.75" customHeight="1" s="30"/>
    <row r="766" ht="15.75" customHeight="1" s="30"/>
    <row r="767" ht="15.75" customHeight="1" s="30"/>
    <row r="768" ht="15.75" customHeight="1" s="30"/>
    <row r="769" ht="15.75" customHeight="1" s="30"/>
    <row r="770" ht="15.75" customHeight="1" s="30"/>
    <row r="771" ht="15.75" customHeight="1" s="30"/>
    <row r="772" ht="15.75" customHeight="1" s="30"/>
    <row r="773" ht="15.75" customHeight="1" s="30"/>
    <row r="774" ht="15.75" customHeight="1" s="30"/>
    <row r="775" ht="15.75" customHeight="1" s="30"/>
    <row r="776" ht="15.75" customHeight="1" s="30"/>
    <row r="777" ht="15.75" customHeight="1" s="30"/>
    <row r="778" ht="15.75" customHeight="1" s="30"/>
    <row r="779" ht="15.75" customHeight="1" s="30"/>
    <row r="780" ht="15.75" customHeight="1" s="30"/>
    <row r="781" ht="15.75" customHeight="1" s="30"/>
    <row r="782" ht="15.75" customHeight="1" s="30"/>
    <row r="783" ht="15.75" customHeight="1" s="30"/>
    <row r="784" ht="15.75" customHeight="1" s="30"/>
    <row r="785" ht="15.75" customHeight="1" s="30"/>
    <row r="786" ht="15.75" customHeight="1" s="30"/>
    <row r="787" ht="15.75" customHeight="1" s="30"/>
    <row r="788" ht="15.75" customHeight="1" s="30"/>
    <row r="789" ht="15.75" customHeight="1" s="30"/>
    <row r="790" ht="15.75" customHeight="1" s="30"/>
    <row r="791" ht="15.75" customHeight="1" s="30"/>
    <row r="792" ht="15.75" customHeight="1" s="30"/>
    <row r="793" ht="15.75" customHeight="1" s="30"/>
    <row r="794" ht="15.75" customHeight="1" s="30"/>
    <row r="795" ht="15.75" customHeight="1" s="30"/>
    <row r="796" ht="15.75" customHeight="1" s="30"/>
    <row r="797" ht="15.75" customHeight="1" s="30"/>
    <row r="798" ht="15.75" customHeight="1" s="30"/>
    <row r="799" ht="15.75" customHeight="1" s="30"/>
    <row r="800" ht="15.75" customHeight="1" s="30"/>
    <row r="801" ht="15.75" customHeight="1" s="30"/>
    <row r="802" ht="15.75" customHeight="1" s="30"/>
    <row r="803" ht="15.75" customHeight="1" s="30"/>
    <row r="804" ht="15.75" customHeight="1" s="30"/>
    <row r="805" ht="15.75" customHeight="1" s="30"/>
    <row r="806" ht="15.75" customHeight="1" s="30"/>
    <row r="807" ht="15.75" customHeight="1" s="30"/>
    <row r="808" ht="15.75" customHeight="1" s="30"/>
    <row r="809" ht="15.75" customHeight="1" s="30"/>
    <row r="810" ht="15.75" customHeight="1" s="30"/>
    <row r="811" ht="15.75" customHeight="1" s="30"/>
    <row r="812" ht="15.75" customHeight="1" s="30"/>
    <row r="813" ht="15.75" customHeight="1" s="30"/>
    <row r="814" ht="15.75" customHeight="1" s="30"/>
    <row r="815" ht="15.75" customHeight="1" s="30"/>
    <row r="816" ht="15.75" customHeight="1" s="30"/>
    <row r="817" ht="15.75" customHeight="1" s="30"/>
    <row r="818" ht="15.75" customHeight="1" s="30"/>
    <row r="819" ht="15.75" customHeight="1" s="30"/>
    <row r="820" ht="15.75" customHeight="1" s="30"/>
    <row r="821" ht="15.75" customHeight="1" s="30"/>
    <row r="822" ht="15.75" customHeight="1" s="30"/>
    <row r="823" ht="15.75" customHeight="1" s="30"/>
    <row r="824" ht="15.75" customHeight="1" s="30"/>
    <row r="825" ht="15.75" customHeight="1" s="30"/>
    <row r="826" ht="15.75" customHeight="1" s="30"/>
    <row r="827" ht="15.75" customHeight="1" s="30"/>
    <row r="828" ht="15.75" customHeight="1" s="30"/>
    <row r="829" ht="15.75" customHeight="1" s="30"/>
    <row r="830" ht="15.75" customHeight="1" s="30"/>
    <row r="831" ht="15.75" customHeight="1" s="30"/>
    <row r="832" ht="15.75" customHeight="1" s="30"/>
    <row r="833" ht="15.75" customHeight="1" s="30"/>
    <row r="834" ht="15.75" customHeight="1" s="30"/>
    <row r="835" ht="15.75" customHeight="1" s="30"/>
    <row r="836" ht="15.75" customHeight="1" s="30"/>
    <row r="837" ht="15.75" customHeight="1" s="30"/>
    <row r="838" ht="15.75" customHeight="1" s="30"/>
    <row r="839" ht="15.75" customHeight="1" s="30"/>
    <row r="840" ht="15.75" customHeight="1" s="30"/>
    <row r="841" ht="15.75" customHeight="1" s="30"/>
    <row r="842" ht="15.75" customHeight="1" s="30"/>
    <row r="843" ht="15.75" customHeight="1" s="30"/>
    <row r="844" ht="15.75" customHeight="1" s="30"/>
    <row r="845" ht="15.75" customHeight="1" s="30"/>
    <row r="846" ht="15.75" customHeight="1" s="30"/>
    <row r="847" ht="15.75" customHeight="1" s="30"/>
    <row r="848" ht="15.75" customHeight="1" s="30"/>
    <row r="849" ht="15.75" customHeight="1" s="30"/>
    <row r="850" ht="15.75" customHeight="1" s="30"/>
    <row r="851" ht="15.75" customHeight="1" s="30"/>
    <row r="852" ht="15.75" customHeight="1" s="30"/>
    <row r="853" ht="15.75" customHeight="1" s="30"/>
    <row r="854" ht="15.75" customHeight="1" s="30"/>
    <row r="855" ht="15.75" customHeight="1" s="30"/>
    <row r="856" ht="15.75" customHeight="1" s="30"/>
    <row r="857" ht="15.75" customHeight="1" s="30"/>
    <row r="858" ht="15.75" customHeight="1" s="30"/>
    <row r="859" ht="15.75" customHeight="1" s="30"/>
    <row r="860" ht="15.75" customHeight="1" s="30"/>
    <row r="861" ht="15.75" customHeight="1" s="30"/>
    <row r="862" ht="15.75" customHeight="1" s="30"/>
    <row r="863" ht="15.75" customHeight="1" s="30"/>
    <row r="864" ht="15.75" customHeight="1" s="30"/>
    <row r="865" ht="15.75" customHeight="1" s="30"/>
    <row r="866" ht="15.75" customHeight="1" s="30"/>
    <row r="867" ht="15.75" customHeight="1" s="30"/>
    <row r="868" ht="15.75" customHeight="1" s="30"/>
    <row r="869" ht="15.75" customHeight="1" s="30"/>
    <row r="870" ht="15.75" customHeight="1" s="30"/>
    <row r="871" ht="15.75" customHeight="1" s="30"/>
    <row r="872" ht="15.75" customHeight="1" s="30"/>
    <row r="873" ht="15.75" customHeight="1" s="30"/>
    <row r="874" ht="15.75" customHeight="1" s="30"/>
    <row r="875" ht="15.75" customHeight="1" s="30"/>
    <row r="876" ht="15.75" customHeight="1" s="30"/>
    <row r="877" ht="15.75" customHeight="1" s="30"/>
    <row r="878" ht="15.75" customHeight="1" s="30"/>
    <row r="879" ht="15.75" customHeight="1" s="30"/>
    <row r="880" ht="15.75" customHeight="1" s="30"/>
    <row r="881" ht="15.75" customHeight="1" s="30"/>
    <row r="882" ht="15.75" customHeight="1" s="30"/>
    <row r="883" ht="15.75" customHeight="1" s="30"/>
    <row r="884" ht="15.75" customHeight="1" s="30"/>
    <row r="885" ht="15.75" customHeight="1" s="30"/>
    <row r="886" ht="15.75" customHeight="1" s="30"/>
    <row r="887" ht="15.75" customHeight="1" s="30"/>
    <row r="888" ht="15.75" customHeight="1" s="30"/>
    <row r="889" ht="15.75" customHeight="1" s="30"/>
    <row r="890" ht="15.75" customHeight="1" s="30"/>
    <row r="891" ht="15.75" customHeight="1" s="30"/>
    <row r="892" ht="15.75" customHeight="1" s="30"/>
    <row r="893" ht="15.75" customHeight="1" s="30"/>
    <row r="894" ht="15.75" customHeight="1" s="30"/>
    <row r="895" ht="15.75" customHeight="1" s="30"/>
    <row r="896" ht="15.75" customHeight="1" s="30"/>
    <row r="897" ht="15.75" customHeight="1" s="30"/>
    <row r="898" ht="15.75" customHeight="1" s="30"/>
    <row r="899" ht="15.75" customHeight="1" s="30"/>
    <row r="900" ht="15.75" customHeight="1" s="30"/>
    <row r="901" ht="15.75" customHeight="1" s="30"/>
    <row r="902" ht="15.75" customHeight="1" s="30"/>
    <row r="903" ht="15.75" customHeight="1" s="30"/>
    <row r="904" ht="15.75" customHeight="1" s="30"/>
    <row r="905" ht="15.75" customHeight="1" s="30"/>
    <row r="906" ht="15.75" customHeight="1" s="30"/>
    <row r="907" ht="15.75" customHeight="1" s="30"/>
    <row r="908" ht="15.75" customHeight="1" s="30"/>
    <row r="909" ht="15.75" customHeight="1" s="30"/>
    <row r="910" ht="15.75" customHeight="1" s="30"/>
    <row r="911" ht="15.75" customHeight="1" s="30"/>
    <row r="912" ht="15.75" customHeight="1" s="30"/>
    <row r="913" ht="15.75" customHeight="1" s="30"/>
    <row r="914" ht="15.75" customHeight="1" s="30"/>
    <row r="915" ht="15.75" customHeight="1" s="30"/>
    <row r="916" ht="15.75" customHeight="1" s="30"/>
    <row r="917" ht="15.75" customHeight="1" s="30"/>
    <row r="918" ht="15.75" customHeight="1" s="30"/>
    <row r="919" ht="15.75" customHeight="1" s="30"/>
    <row r="920" ht="15.75" customHeight="1" s="30"/>
    <row r="921" ht="15.75" customHeight="1" s="30"/>
    <row r="922" ht="15.75" customHeight="1" s="30"/>
    <row r="923" ht="15.75" customHeight="1" s="30"/>
    <row r="924" ht="15.75" customHeight="1" s="30"/>
    <row r="925" ht="15.75" customHeight="1" s="30"/>
    <row r="926" ht="15.75" customHeight="1" s="30"/>
    <row r="927" ht="15.75" customHeight="1" s="30"/>
    <row r="928" ht="15.75" customHeight="1" s="30"/>
    <row r="929" ht="15.75" customHeight="1" s="30"/>
    <row r="930" ht="15.75" customHeight="1" s="30"/>
    <row r="931" ht="15.75" customHeight="1" s="30"/>
    <row r="932" ht="15.75" customHeight="1" s="30"/>
    <row r="933" ht="15.75" customHeight="1" s="30"/>
    <row r="934" ht="15.75" customHeight="1" s="30"/>
    <row r="935" ht="15.75" customHeight="1" s="30"/>
    <row r="936" ht="15.75" customHeight="1" s="30"/>
    <row r="937" ht="15.75" customHeight="1" s="30"/>
    <row r="938" ht="15.75" customHeight="1" s="30"/>
    <row r="939" ht="15.75" customHeight="1" s="30"/>
    <row r="940" ht="15.75" customHeight="1" s="30"/>
    <row r="941" ht="15.75" customHeight="1" s="30"/>
    <row r="942" ht="15.75" customHeight="1" s="30"/>
    <row r="943" ht="15.75" customHeight="1" s="30"/>
    <row r="944" ht="15.75" customHeight="1" s="30"/>
    <row r="945" ht="15.75" customHeight="1" s="30"/>
    <row r="946" ht="15.75" customHeight="1" s="30"/>
    <row r="947" ht="15.75" customHeight="1" s="30"/>
    <row r="948" ht="15.75" customHeight="1" s="30"/>
    <row r="949" ht="15.75" customHeight="1" s="30"/>
    <row r="950" ht="15.75" customHeight="1" s="30"/>
    <row r="951" ht="15.75" customHeight="1" s="30"/>
    <row r="952" ht="15.75" customHeight="1" s="30"/>
    <row r="953" ht="15.75" customHeight="1" s="30"/>
    <row r="954" ht="15.75" customHeight="1" s="30"/>
    <row r="955" ht="15.75" customHeight="1" s="30"/>
    <row r="956" ht="15.75" customHeight="1" s="30"/>
    <row r="957" ht="15.75" customHeight="1" s="30"/>
    <row r="958" ht="15.75" customHeight="1" s="30"/>
    <row r="959" ht="15.75" customHeight="1" s="30"/>
    <row r="960" ht="15.75" customHeight="1" s="30"/>
    <row r="961" ht="15.75" customHeight="1" s="30"/>
    <row r="962" ht="15.75" customHeight="1" s="30"/>
    <row r="963" ht="15.75" customHeight="1" s="30"/>
    <row r="964" ht="15.75" customHeight="1" s="30"/>
    <row r="965" ht="15.75" customHeight="1" s="30"/>
    <row r="966" ht="15.75" customHeight="1" s="30"/>
    <row r="967" ht="15.75" customHeight="1" s="30"/>
    <row r="968" ht="15.75" customHeight="1" s="30"/>
    <row r="969" ht="15.75" customHeight="1" s="30"/>
    <row r="970" ht="15.75" customHeight="1" s="30"/>
    <row r="971" ht="15.75" customHeight="1" s="30"/>
    <row r="972" ht="15.75" customHeight="1" s="30"/>
    <row r="973" ht="15.75" customHeight="1" s="30"/>
    <row r="974" ht="15.75" customHeight="1" s="30"/>
    <row r="975" ht="15.75" customHeight="1" s="30"/>
    <row r="976" ht="15.75" customHeight="1" s="30"/>
    <row r="977" ht="15.75" customHeight="1" s="30"/>
    <row r="978" ht="15.75" customHeight="1" s="30"/>
    <row r="979" ht="15.75" customHeight="1" s="30"/>
    <row r="980" ht="15.75" customHeight="1" s="30"/>
    <row r="981" ht="15.75" customHeight="1" s="30"/>
    <row r="982" ht="15.75" customHeight="1" s="30"/>
    <row r="983" ht="15.75" customHeight="1" s="30"/>
    <row r="984" ht="15.75" customHeight="1" s="30"/>
    <row r="985" ht="15.75" customHeight="1" s="30"/>
    <row r="986" ht="15.75" customHeight="1" s="30"/>
    <row r="987" ht="15.75" customHeight="1" s="30"/>
    <row r="988" ht="15.75" customHeight="1" s="30"/>
    <row r="989" ht="15.75" customHeight="1" s="30"/>
    <row r="990" ht="15.75" customHeight="1" s="30"/>
    <row r="991" ht="15.75" customHeight="1" s="30"/>
    <row r="992" ht="15.75" customHeight="1" s="30"/>
    <row r="993" ht="15.75" customHeight="1" s="30"/>
    <row r="994" ht="15.75" customHeight="1" s="30"/>
    <row r="995" ht="15.75" customHeight="1" s="30"/>
    <row r="996" ht="15.75" customHeight="1" s="30"/>
    <row r="997" ht="15.75" customHeight="1" s="30"/>
    <row r="998" ht="15.75" customHeight="1" s="30"/>
    <row r="999" ht="15.75" customHeight="1" s="30"/>
    <row r="1000" ht="15.75" customHeight="1" s="30"/>
  </sheetData>
  <mergeCells count="3">
    <mergeCell ref="B1:E1"/>
    <mergeCell ref="B22:E22"/>
    <mergeCell ref="B2:E2"/>
  </mergeCells>
  <conditionalFormatting sqref="C5:C20">
    <cfRule type="cellIs" priority="1" operator="equal" dxfId="0">
      <formula>"MISSING"</formula>
    </cfRule>
    <cfRule type="cellIs" priority="2" operator="equal" dxfId="1">
      <formula>"Complete"</formula>
    </cfRule>
  </conditionalFormatting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2026-09-25T16:59:11Z</dcterms:created>
  <dcterms:modified xmlns:dcterms="http://purl.org/dc/terms/" xmlns:xsi="http://www.w3.org/2001/XMLSchema-instance" xsi:type="dcterms:W3CDTF">2026-09-25T16:59:12Z</dcterms:modified>
</cp:coreProperties>
</file>